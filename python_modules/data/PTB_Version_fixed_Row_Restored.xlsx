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Anywhere\Core Files for deployment\"/>
    </mc:Choice>
  </mc:AlternateContent>
  <xr:revisionPtr revIDLastSave="0" documentId="13_ncr:1_{0AA3AF73-E5C8-4485-92F9-906A5F54B278}" xr6:coauthVersionLast="47" xr6:coauthVersionMax="47" xr10:uidLastSave="{00000000-0000-0000-0000-000000000000}"/>
  <bookViews>
    <workbookView xWindow="0" yWindow="1723" windowWidth="32914" windowHeight="16791" tabRatio="224" xr2:uid="{D3669B40-21B4-4264-999F-7B9CA8C6B78B}"/>
  </bookViews>
  <sheets>
    <sheet name="Main" sheetId="1" r:id="rId1"/>
    <sheet name="Race Effect" sheetId="2" r:id="rId2"/>
    <sheet name="Interval" sheetId="3" r:id="rId3"/>
    <sheet name="Age" sheetId="5" r:id="rId4"/>
    <sheet name="Sheet4" sheetId="6" r:id="rId5"/>
  </sheets>
  <definedNames>
    <definedName name="caveats" localSheetId="1">'Race Effect'!$C$41</definedName>
    <definedName name="Citation" localSheetId="1">'Race Effect'!$C$50</definedName>
    <definedName name="Notes" localSheetId="1">'Race Effect'!$C$40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4" i="3" l="1"/>
  <c r="J197" i="3"/>
  <c r="L199" i="3" s="1"/>
  <c r="M199" i="3" s="1"/>
  <c r="J190" i="3"/>
  <c r="J183" i="3"/>
  <c r="J176" i="3"/>
  <c r="J169" i="3"/>
  <c r="J162" i="3"/>
  <c r="J155" i="3"/>
  <c r="J148" i="3"/>
  <c r="J141" i="3"/>
  <c r="J134" i="3"/>
  <c r="J127" i="3"/>
  <c r="J120" i="3"/>
  <c r="J113" i="3"/>
  <c r="J106" i="3"/>
  <c r="J99" i="3"/>
  <c r="J92" i="3"/>
  <c r="J85" i="3"/>
  <c r="J78" i="3"/>
  <c r="J71" i="3"/>
  <c r="J64" i="3"/>
  <c r="J57" i="3"/>
  <c r="J51" i="3"/>
  <c r="J45" i="3"/>
  <c r="J39" i="3"/>
  <c r="J33" i="3"/>
  <c r="J27" i="3"/>
  <c r="J21" i="3"/>
  <c r="J15" i="3"/>
  <c r="J8" i="3"/>
  <c r="K206" i="3"/>
  <c r="K199" i="3"/>
  <c r="K192" i="3"/>
  <c r="K185" i="3"/>
  <c r="L185" i="3"/>
  <c r="M185" i="3" s="1"/>
  <c r="K178" i="3"/>
  <c r="K171" i="3"/>
  <c r="K164" i="3"/>
  <c r="K157" i="3"/>
  <c r="K150" i="3"/>
  <c r="K143" i="3"/>
  <c r="K136" i="3"/>
  <c r="K129" i="3"/>
  <c r="K122" i="3"/>
  <c r="K115" i="3"/>
  <c r="K108" i="3"/>
  <c r="K101" i="3"/>
  <c r="K94" i="3"/>
  <c r="K87" i="3"/>
  <c r="K80" i="3"/>
  <c r="K73" i="3"/>
  <c r="K66" i="3"/>
  <c r="K59" i="3"/>
  <c r="K53" i="3"/>
  <c r="K47" i="3"/>
  <c r="K41" i="3"/>
  <c r="K35" i="3"/>
  <c r="K29" i="3"/>
  <c r="K23" i="3"/>
  <c r="K17" i="3"/>
  <c r="K10" i="3"/>
  <c r="K179" i="2"/>
  <c r="J177" i="2"/>
  <c r="K172" i="2"/>
  <c r="J170" i="2"/>
  <c r="K165" i="2"/>
  <c r="J163" i="2"/>
  <c r="K158" i="2"/>
  <c r="J156" i="2"/>
  <c r="K151" i="2"/>
  <c r="J149" i="2"/>
  <c r="J142" i="2"/>
  <c r="K144" i="2"/>
  <c r="L144" i="2"/>
  <c r="K132" i="2"/>
  <c r="J130" i="2"/>
  <c r="K126" i="2"/>
  <c r="J124" i="2"/>
  <c r="K119" i="2"/>
  <c r="J117" i="2"/>
  <c r="K113" i="2"/>
  <c r="J111" i="2"/>
  <c r="K106" i="2"/>
  <c r="J104" i="2"/>
  <c r="L100" i="2"/>
  <c r="M100" i="2" s="1"/>
  <c r="K100" i="2"/>
  <c r="J98" i="2"/>
  <c r="J73" i="2"/>
  <c r="K89" i="2"/>
  <c r="J87" i="2"/>
  <c r="K82" i="2"/>
  <c r="J80" i="2"/>
  <c r="K75" i="2"/>
  <c r="K69" i="2"/>
  <c r="J67" i="2"/>
  <c r="K62" i="2"/>
  <c r="J60" i="2"/>
  <c r="M55" i="2"/>
  <c r="L55" i="2"/>
  <c r="K55" i="2"/>
  <c r="J53" i="2"/>
  <c r="K45" i="2"/>
  <c r="J43" i="2"/>
  <c r="K38" i="2"/>
  <c r="J36" i="2"/>
  <c r="K31" i="2"/>
  <c r="J29" i="2"/>
  <c r="K24" i="2"/>
  <c r="J22" i="2"/>
  <c r="K17" i="2"/>
  <c r="J15" i="2"/>
  <c r="M10" i="2"/>
  <c r="L10" i="2"/>
  <c r="K10" i="2"/>
  <c r="J8" i="2"/>
  <c r="L164" i="3" l="1"/>
  <c r="L10" i="3"/>
  <c r="M10" i="3" s="1"/>
  <c r="L136" i="3"/>
  <c r="M136" i="3" s="1"/>
  <c r="L115" i="3"/>
  <c r="M115" i="3" s="1"/>
  <c r="M164" i="3"/>
  <c r="L206" i="3"/>
  <c r="M206" i="3" s="1"/>
  <c r="L192" i="3"/>
  <c r="M192" i="3" s="1"/>
  <c r="L178" i="3"/>
  <c r="M178" i="3" s="1"/>
  <c r="L171" i="3"/>
  <c r="M171" i="3" s="1"/>
  <c r="L157" i="3"/>
  <c r="M157" i="3" s="1"/>
  <c r="L150" i="3"/>
  <c r="M150" i="3" s="1"/>
  <c r="L143" i="3"/>
  <c r="M143" i="3" s="1"/>
  <c r="L129" i="3"/>
  <c r="M129" i="3" s="1"/>
  <c r="L122" i="3"/>
  <c r="M122" i="3" s="1"/>
  <c r="L108" i="3"/>
  <c r="M108" i="3" s="1"/>
  <c r="L101" i="3"/>
  <c r="M101" i="3" s="1"/>
  <c r="L94" i="3"/>
  <c r="M94" i="3" s="1"/>
  <c r="L87" i="3"/>
  <c r="M87" i="3" s="1"/>
  <c r="L80" i="3"/>
  <c r="M80" i="3" s="1"/>
  <c r="L73" i="3"/>
  <c r="M73" i="3" s="1"/>
  <c r="L66" i="3"/>
  <c r="M66" i="3" s="1"/>
  <c r="L59" i="3"/>
  <c r="M59" i="3" s="1"/>
  <c r="L53" i="3"/>
  <c r="M53" i="3" s="1"/>
  <c r="L47" i="3"/>
  <c r="M47" i="3" s="1"/>
  <c r="L41" i="3"/>
  <c r="M41" i="3" s="1"/>
  <c r="L35" i="3"/>
  <c r="M35" i="3" s="1"/>
  <c r="L29" i="3"/>
  <c r="M29" i="3" s="1"/>
  <c r="L23" i="3"/>
  <c r="M23" i="3" s="1"/>
  <c r="L17" i="3"/>
  <c r="M17" i="3" s="1"/>
  <c r="L179" i="2"/>
  <c r="M179" i="2" s="1"/>
  <c r="L172" i="2"/>
  <c r="M172" i="2" s="1"/>
  <c r="L165" i="2"/>
  <c r="M165" i="2" s="1"/>
  <c r="L158" i="2"/>
  <c r="M158" i="2" s="1"/>
  <c r="L151" i="2"/>
  <c r="M151" i="2" s="1"/>
  <c r="M144" i="2"/>
  <c r="L132" i="2"/>
  <c r="M132" i="2" s="1"/>
  <c r="L126" i="2"/>
  <c r="M126" i="2" s="1"/>
  <c r="L119" i="2"/>
  <c r="M119" i="2" s="1"/>
  <c r="L113" i="2"/>
  <c r="M113" i="2" s="1"/>
  <c r="L106" i="2"/>
  <c r="M106" i="2" s="1"/>
  <c r="L89" i="2"/>
  <c r="M89" i="2" s="1"/>
  <c r="L82" i="2"/>
  <c r="M82" i="2" s="1"/>
  <c r="L75" i="2"/>
  <c r="M75" i="2" s="1"/>
  <c r="L69" i="2"/>
  <c r="M69" i="2" s="1"/>
  <c r="L62" i="2"/>
  <c r="M62" i="2" s="1"/>
  <c r="L45" i="2"/>
  <c r="M45" i="2" s="1"/>
  <c r="L38" i="2"/>
  <c r="M38" i="2" s="1"/>
  <c r="L31" i="2"/>
  <c r="M31" i="2" s="1"/>
  <c r="L24" i="2"/>
  <c r="M24" i="2" s="1"/>
  <c r="L17" i="2"/>
  <c r="M17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<sst xmlns="http://schemas.openxmlformats.org/spreadsheetml/2006/main" count="5067" uniqueCount="75">
  <si>
    <t>No</t>
  </si>
  <si>
    <t>Single</t>
  </si>
  <si>
    <t>Asian</t>
  </si>
  <si>
    <t>Mother's Single Race 6</t>
  </si>
  <si>
    <t>Births</t>
  </si>
  <si>
    <t>American Indian or Alaska Native</t>
  </si>
  <si>
    <t>Black or African American</t>
  </si>
  <si>
    <t>Native Hawaiian or Other Pacific Islander</t>
  </si>
  <si>
    <t>White</t>
  </si>
  <si>
    <t>More than one race</t>
  </si>
  <si>
    <t>OE Gestational Age Recode 10</t>
  </si>
  <si>
    <t>Under 20 weeks</t>
  </si>
  <si>
    <t>20 - 27 weeks</t>
  </si>
  <si>
    <t>28 - 31 weeks</t>
  </si>
  <si>
    <t>32 - 35 weeks</t>
  </si>
  <si>
    <t>36 weeks</t>
  </si>
  <si>
    <t>37 - 39 weeks</t>
  </si>
  <si>
    <t>40 weeks</t>
  </si>
  <si>
    <t>All years, all races, Gestational Age Recode 10 is 40 years or less</t>
  </si>
  <si>
    <t>PTB Births</t>
  </si>
  <si>
    <t>Non-PTB Births</t>
  </si>
  <si>
    <t>Total Births</t>
  </si>
  <si>
    <t>PTB%</t>
  </si>
  <si>
    <t>All years, all races, Maternal Age 35+, Gestational Age Recode 10 is 40 years or less</t>
  </si>
  <si>
    <t>merican Indian or Alaska Native</t>
  </si>
  <si>
    <t>All years, all races, Maternal Age 35+, Smoker, Gestational Age Recode 10 is 40 years or less</t>
  </si>
  <si>
    <t>All years, all races, Maternal Age 20-29, Non-Smoker, Gestational Age Recode 10 is 40 years or less</t>
  </si>
  <si>
    <t>Zero to 3 months (plural delivery)</t>
  </si>
  <si>
    <t>4 to 11 months</t>
  </si>
  <si>
    <t>12 to 17 months</t>
  </si>
  <si>
    <t>18 to 23 months</t>
  </si>
  <si>
    <t>24 to 35 months</t>
  </si>
  <si>
    <t>36 to 47 months</t>
  </si>
  <si>
    <t>48 to 59 months</t>
  </si>
  <si>
    <t>60 to 71 months</t>
  </si>
  <si>
    <t>72 months and over</t>
  </si>
  <si>
    <t>Not Applicable (no previous pregnancy)</t>
  </si>
  <si>
    <t>Interval of Last Pregnancy</t>
  </si>
  <si>
    <t>Age of Mother 9:</t>
  </si>
  <si>
    <t>15-19 years</t>
  </si>
  <si>
    <t>Interval of Last Pregnancy:</t>
  </si>
  <si>
    <t>Mother's Single Race 6:</t>
  </si>
  <si>
    <t>Plurality:</t>
  </si>
  <si>
    <t>Previous Preterm Birth:</t>
  </si>
  <si>
    <t>Source of Payment for Delivery:</t>
  </si>
  <si>
    <t>Medicaid; Private Insurance</t>
  </si>
  <si>
    <t>Tobacco Use:</t>
  </si>
  <si>
    <t>Group By:</t>
  </si>
  <si>
    <t>Show Totals:</t>
  </si>
  <si>
    <t>Show Zero Values:</t>
  </si>
  <si>
    <t>Show Suppressed:</t>
  </si>
  <si>
    <t>Calculate Rates Per:</t>
  </si>
  <si>
    <t>Source of Payment for Delivery; OE Gestational Age Recode 10</t>
  </si>
  <si>
    <t>OE Gestational Age Recode 10:</t>
  </si>
  <si>
    <t>Under 20 weeks; 20 - 27 weeks; 28 - 31 weeks; 32 - 35 weeks; 36 weeks; 37 - 39 weeks; 40 weeks</t>
  </si>
  <si>
    <t>Y</t>
  </si>
  <si>
    <t>N</t>
  </si>
  <si>
    <t xml:space="preserve"> </t>
  </si>
  <si>
    <t>age_15_19</t>
  </si>
  <si>
    <t>age_20_34</t>
  </si>
  <si>
    <t>age_35_44</t>
  </si>
  <si>
    <t>preg_interval_4_11</t>
  </si>
  <si>
    <t>preg_interval_12_plus</t>
  </si>
  <si>
    <t>race_white</t>
  </si>
  <si>
    <t>race_black</t>
  </si>
  <si>
    <t>race_asian</t>
  </si>
  <si>
    <t>prior_ptb</t>
  </si>
  <si>
    <t>preg_type_single</t>
  </si>
  <si>
    <t>preg_type_multiple</t>
  </si>
  <si>
    <t>smoking_current</t>
  </si>
  <si>
    <t>insurance_medicaid</t>
  </si>
  <si>
    <t>insurance_private</t>
  </si>
  <si>
    <t>percent_ptb</t>
  </si>
  <si>
    <t>total_births</t>
  </si>
  <si>
    <t>total_ptb_births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</si>
</sst>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10" fontId="0" fillId="0" borderId="0" xfId="0" applyNumberFormat="1"/>
    <xf numFmtId="0" fontId="0" fillId="0" borderId="0" xfId="0" applyAlignment="1">
      <alignment vertical="center" wrapText="1"/>
    </xf>
    <xf numFmtId="0" fontId="0" fillId="3" borderId="0" xfId="0" applyFill="1"/>
    <xf numFmtId="0" fontId="1" fillId="3" borderId="0" xfId="0" applyFont="1" applyFill="1"/>
    <xf numFmtId="3" fontId="0" fillId="3" borderId="0" xfId="0" applyNumberFormat="1" applyFill="1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1" applyFill="1" applyAlignment="1">
      <alignment horizontal="center" vertical="center" wrapText="1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10" fontId="1" fillId="0" borderId="0" xfId="0" applyNumberFormat="1" applyFont="1" applyAlignment="1">
      <alignment horizontal="center" wrapText="1"/>
    </xf>
    <xf numFmtId="0" fontId="5" fillId="0" borderId="0" xfId="1" applyFont="1" applyFill="1" applyAlignment="1">
      <alignment horizontal="center" wrapText="1"/>
    </xf>
    <xf numFmtId="10" fontId="1" fillId="0" borderId="0" xfId="0" applyNumberFormat="1" applyFont="1"/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vertical="center" wrapText="1"/>
    </xf>
    <xf numFmtId="10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3" fontId="0" fillId="2" borderId="0" xfId="0" applyNumberFormat="1" applyFill="1"/>
    <xf numFmtId="10" fontId="0" fillId="2" borderId="0" xfId="0" applyNumberForma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3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  <v>Results are sorted in by-variable order</v>
  </rv>
  <rv s="0">
    <v>1</v>
    <v>5</v>
    <v>Click to sort by Births ascending</v>
  </rv>
  <rv s="0">
    <v>2</v>
    <v>5</v>
    <v>Click to sort by Births descending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onder.cdc.gov/controller/datarequest/D149;jsessionid=3A3BB1E38C63FE039C5B290EEB16?stage=results&amp;action=hide&amp;measure=D149.M002" TargetMode="External"/><Relationship Id="rId2" Type="http://schemas.openxmlformats.org/officeDocument/2006/relationships/hyperlink" Target="https://wonder.cdc.gov/controller/datarequest/D149;jsessionid=3A3BB1E38C63FE039C5B290EEB16?stage=results&amp;action=hide&amp;measure=D149.M002" TargetMode="External"/><Relationship Id="rId1" Type="http://schemas.openxmlformats.org/officeDocument/2006/relationships/hyperlink" Target="https://wonder.cdc.gov/controller/datarequest/D149;jsessionid=D57E724F4761A939AEBC457875A1?stage=results&amp;action=hide&amp;measure=D149.M00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onder.cdc.gov/controller/datarequest/D149;jsessionid=3A3BB1E38C63FE039C5B290EEB16?stage=results&amp;action=hide&amp;measure=D149.M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67DA2-5B0E-4C37-A572-A0726DACA4C8}">
  <dimension ref="A1:V289"/>
  <sheetViews>
    <sheetView tabSelected="1" zoomScale="125" zoomScaleNormal="125" workbookViewId="0">
      <pane ySplit="1" topLeftCell="A2" activePane="bottomLeft" state="frozen"/>
      <selection pane="bottomLeft" activeCell="A5" sqref="A5"/>
    </sheetView>
  </sheetViews>
  <sheetFormatPr defaultRowHeight="15" customHeight="1" x14ac:dyDescent="0.4"/>
  <cols>
    <col min="1" max="3" width="9.4609375" style="28" bestFit="1" customWidth="1"/>
    <col min="4" max="4" width="16" style="28" bestFit="1" customWidth="1"/>
    <col min="5" max="5" width="18.4609375" style="28" bestFit="1" customWidth="1"/>
    <col min="6" max="6" width="9.61328125" style="28" bestFit="1" customWidth="1"/>
    <col min="7" max="7" width="9.53515625" style="28" bestFit="1" customWidth="1"/>
    <col min="8" max="8" width="9.61328125" style="28" bestFit="1" customWidth="1"/>
    <col min="9" max="9" width="8" style="28" bestFit="1" customWidth="1"/>
    <col min="10" max="10" width="14.3828125" style="28" bestFit="1" customWidth="1"/>
    <col min="11" max="11" width="16.15234375" style="28" bestFit="1" customWidth="1"/>
    <col min="12" max="12" width="14.3046875" style="28" bestFit="1" customWidth="1"/>
    <col min="13" max="13" width="17.15234375" style="28" bestFit="1" customWidth="1"/>
    <col min="14" max="14" width="15.23046875" style="28" bestFit="1" customWidth="1"/>
    <col min="15" max="15" width="10.4609375" style="28" bestFit="1" customWidth="1"/>
    <col min="16" max="16" width="10.15234375" style="28" bestFit="1" customWidth="1"/>
    <col min="17" max="17" width="13.53515625" style="28" bestFit="1" customWidth="1"/>
  </cols>
  <sheetData>
    <row r="1" spans="1:22" ht="15" customHeight="1" x14ac:dyDescent="0.4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</row>
    <row r="2" spans="1:22" ht="15" customHeight="1" x14ac:dyDescent="0.4">
      <c r="A2" s="28" t="s">
        <v>55</v>
      </c>
      <c r="B2" s="28" t="s">
        <v>56</v>
      </c>
      <c r="C2" s="28" t="s">
        <v>56</v>
      </c>
      <c r="D2" s="28" t="s">
        <v>55</v>
      </c>
      <c r="E2" s="28" t="s">
        <v>56</v>
      </c>
      <c r="F2" s="28" t="s">
        <v>55</v>
      </c>
      <c r="G2" s="28" t="s">
        <v>56</v>
      </c>
      <c r="H2" s="28" t="s">
        <v>56</v>
      </c>
      <c r="I2" s="28" t="s">
        <v>56</v>
      </c>
      <c r="J2" s="28" t="s">
        <v>55</v>
      </c>
      <c r="K2" s="28" t="s">
        <v>56</v>
      </c>
      <c r="L2" s="28" t="s">
        <v>56</v>
      </c>
      <c r="M2" s="28" t="s">
        <v>55</v>
      </c>
      <c r="N2" s="28" t="s">
        <v>56</v>
      </c>
      <c r="O2" s="29">
        <v>0.15858146537303447</v>
      </c>
      <c r="P2" s="30">
        <v>14945</v>
      </c>
      <c r="Q2" s="30">
        <v>2370</v>
      </c>
      <c r="R2" s="27"/>
      <c r="S2" s="12"/>
      <c r="T2" s="1"/>
      <c r="U2" s="1"/>
      <c r="V2" s="1"/>
    </row>
    <row r="3" spans="1:22" ht="15" customHeight="1" x14ac:dyDescent="0.4">
      <c r="A3" s="28" t="s">
        <v>55</v>
      </c>
      <c r="B3" s="28" t="s">
        <v>56</v>
      </c>
      <c r="C3" s="28" t="s">
        <v>56</v>
      </c>
      <c r="D3" s="28" t="s">
        <v>55</v>
      </c>
      <c r="E3" s="28" t="s">
        <v>56</v>
      </c>
      <c r="F3" s="28" t="s">
        <v>55</v>
      </c>
      <c r="G3" s="28" t="s">
        <v>56</v>
      </c>
      <c r="H3" s="28" t="s">
        <v>56</v>
      </c>
      <c r="I3" s="28" t="s">
        <v>56</v>
      </c>
      <c r="J3" s="28" t="s">
        <v>55</v>
      </c>
      <c r="K3" s="28" t="s">
        <v>56</v>
      </c>
      <c r="L3" s="28" t="s">
        <v>56</v>
      </c>
      <c r="M3" s="28" t="s">
        <v>56</v>
      </c>
      <c r="N3" s="28" t="s">
        <v>55</v>
      </c>
      <c r="O3" s="29">
        <v>0.14646271510516251</v>
      </c>
      <c r="P3" s="30">
        <v>2615</v>
      </c>
      <c r="Q3" s="30">
        <v>383</v>
      </c>
      <c r="R3" s="6"/>
      <c r="S3" s="6"/>
      <c r="T3" s="6"/>
      <c r="U3" s="6"/>
    </row>
    <row r="4" spans="1:22" ht="15" customHeight="1" x14ac:dyDescent="0.4">
      <c r="A4" s="28" t="s">
        <v>55</v>
      </c>
      <c r="B4" s="28" t="s">
        <v>56</v>
      </c>
      <c r="C4" s="28" t="s">
        <v>56</v>
      </c>
      <c r="D4" s="28" t="s">
        <v>56</v>
      </c>
      <c r="E4" s="28" t="s">
        <v>55</v>
      </c>
      <c r="F4" s="28" t="s">
        <v>55</v>
      </c>
      <c r="G4" s="28" t="s">
        <v>56</v>
      </c>
      <c r="H4" s="28" t="s">
        <v>56</v>
      </c>
      <c r="I4" s="28" t="s">
        <v>56</v>
      </c>
      <c r="J4" s="28" t="s">
        <v>55</v>
      </c>
      <c r="K4" s="28" t="s">
        <v>56</v>
      </c>
      <c r="L4" s="28" t="s">
        <v>56</v>
      </c>
      <c r="M4" s="28" t="s">
        <v>55</v>
      </c>
      <c r="N4" s="28" t="s">
        <v>56</v>
      </c>
      <c r="O4" s="29">
        <v>8.6324829814531462E-2</v>
      </c>
      <c r="P4" s="30">
        <v>550282</v>
      </c>
      <c r="Q4" s="30">
        <v>47503</v>
      </c>
      <c r="R4" s="4"/>
      <c r="S4" s="4"/>
      <c r="T4" s="4"/>
      <c r="U4" s="4"/>
    </row>
    <row r="5" spans="1:22" ht="15" customHeight="1" x14ac:dyDescent="0.4">
      <c r="A5" s="28" t="s">
        <v>55</v>
      </c>
      <c r="B5" s="28" t="s">
        <v>56</v>
      </c>
      <c r="C5" s="28" t="s">
        <v>56</v>
      </c>
      <c r="D5" s="28" t="s">
        <v>56</v>
      </c>
      <c r="E5" s="28" t="s">
        <v>55</v>
      </c>
      <c r="F5" s="28" t="s">
        <v>55</v>
      </c>
      <c r="G5" s="28" t="s">
        <v>56</v>
      </c>
      <c r="H5" s="28" t="s">
        <v>56</v>
      </c>
      <c r="I5" s="28" t="s">
        <v>56</v>
      </c>
      <c r="J5" s="28" t="s">
        <v>55</v>
      </c>
      <c r="K5" s="28" t="s">
        <v>56</v>
      </c>
      <c r="L5" s="28" t="s">
        <v>56</v>
      </c>
      <c r="M5" s="28" t="s">
        <v>56</v>
      </c>
      <c r="N5" s="28" t="s">
        <v>55</v>
      </c>
      <c r="O5" s="29">
        <v>7.1954636572048772E-2</v>
      </c>
      <c r="P5" s="30">
        <v>90293</v>
      </c>
      <c r="Q5" s="30">
        <v>6497</v>
      </c>
      <c r="R5" s="4"/>
      <c r="S5" s="4"/>
      <c r="T5" s="4"/>
      <c r="U5" s="4"/>
    </row>
    <row r="6" spans="1:22" ht="15" customHeight="1" x14ac:dyDescent="0.4">
      <c r="A6" s="28" t="s">
        <v>56</v>
      </c>
      <c r="B6" s="28" t="s">
        <v>55</v>
      </c>
      <c r="C6" s="28" t="s">
        <v>56</v>
      </c>
      <c r="D6" s="28" t="s">
        <v>55</v>
      </c>
      <c r="E6" s="28" t="s">
        <v>56</v>
      </c>
      <c r="F6" s="28" t="s">
        <v>55</v>
      </c>
      <c r="G6" s="28" t="s">
        <v>56</v>
      </c>
      <c r="H6" s="28" t="s">
        <v>56</v>
      </c>
      <c r="I6" s="28" t="s">
        <v>56</v>
      </c>
      <c r="J6" s="28" t="s">
        <v>55</v>
      </c>
      <c r="K6" s="28" t="s">
        <v>56</v>
      </c>
      <c r="L6" s="28" t="s">
        <v>56</v>
      </c>
      <c r="M6" s="28" t="s">
        <v>55</v>
      </c>
      <c r="N6" s="28" t="s">
        <v>56</v>
      </c>
      <c r="O6" s="29">
        <v>0.13166097112170941</v>
      </c>
      <c r="P6" s="30">
        <v>159774</v>
      </c>
      <c r="Q6" s="30">
        <v>21036</v>
      </c>
      <c r="R6" s="4"/>
      <c r="S6" s="4"/>
      <c r="T6" s="4"/>
      <c r="U6" s="4"/>
      <c r="V6" s="3"/>
    </row>
    <row r="7" spans="1:22" ht="15" customHeight="1" x14ac:dyDescent="0.4">
      <c r="A7" s="28" t="s">
        <v>56</v>
      </c>
      <c r="B7" s="28" t="s">
        <v>55</v>
      </c>
      <c r="C7" s="28" t="s">
        <v>56</v>
      </c>
      <c r="D7" s="28" t="s">
        <v>55</v>
      </c>
      <c r="E7" s="28" t="s">
        <v>56</v>
      </c>
      <c r="F7" s="28" t="s">
        <v>55</v>
      </c>
      <c r="G7" s="28" t="s">
        <v>56</v>
      </c>
      <c r="H7" s="28" t="s">
        <v>56</v>
      </c>
      <c r="I7" s="28" t="s">
        <v>56</v>
      </c>
      <c r="J7" s="28" t="s">
        <v>55</v>
      </c>
      <c r="K7" s="28" t="s">
        <v>56</v>
      </c>
      <c r="L7" s="28" t="s">
        <v>56</v>
      </c>
      <c r="M7" s="28" t="s">
        <v>56</v>
      </c>
      <c r="N7" s="28" t="s">
        <v>55</v>
      </c>
      <c r="O7" s="29">
        <v>6.7554964005013068E-2</v>
      </c>
      <c r="P7" s="30">
        <v>205862</v>
      </c>
      <c r="Q7" s="30">
        <v>13907</v>
      </c>
      <c r="R7" s="4"/>
      <c r="S7" s="6"/>
      <c r="T7" s="6"/>
      <c r="U7" s="6"/>
    </row>
    <row r="8" spans="1:22" ht="15" customHeight="1" x14ac:dyDescent="0.4">
      <c r="A8" s="28" t="s">
        <v>56</v>
      </c>
      <c r="B8" s="28" t="s">
        <v>55</v>
      </c>
      <c r="C8" s="28" t="s">
        <v>56</v>
      </c>
      <c r="D8" s="28" t="s">
        <v>56</v>
      </c>
      <c r="E8" s="28" t="s">
        <v>55</v>
      </c>
      <c r="F8" s="28" t="s">
        <v>55</v>
      </c>
      <c r="G8" s="28" t="s">
        <v>56</v>
      </c>
      <c r="H8" s="28" t="s">
        <v>56</v>
      </c>
      <c r="I8" s="28" t="s">
        <v>56</v>
      </c>
      <c r="J8" s="28" t="s">
        <v>55</v>
      </c>
      <c r="K8" s="28" t="s">
        <v>56</v>
      </c>
      <c r="L8" s="28" t="s">
        <v>56</v>
      </c>
      <c r="M8" s="28" t="s">
        <v>55</v>
      </c>
      <c r="N8" s="28" t="s">
        <v>56</v>
      </c>
      <c r="O8" s="29">
        <v>7.4409901469786696E-2</v>
      </c>
      <c r="P8" s="30">
        <v>4359272</v>
      </c>
      <c r="Q8" s="30">
        <v>324373</v>
      </c>
      <c r="R8" s="4"/>
      <c r="S8" s="4"/>
      <c r="T8" s="4"/>
      <c r="U8" s="4"/>
    </row>
    <row r="9" spans="1:22" ht="15" customHeight="1" x14ac:dyDescent="0.4">
      <c r="A9" s="28" t="s">
        <v>56</v>
      </c>
      <c r="B9" s="28" t="s">
        <v>55</v>
      </c>
      <c r="C9" s="28" t="s">
        <v>56</v>
      </c>
      <c r="D9" s="28" t="s">
        <v>56</v>
      </c>
      <c r="E9" s="28" t="s">
        <v>55</v>
      </c>
      <c r="F9" s="28" t="s">
        <v>55</v>
      </c>
      <c r="G9" s="28" t="s">
        <v>56</v>
      </c>
      <c r="H9" s="28" t="s">
        <v>56</v>
      </c>
      <c r="I9" s="28" t="s">
        <v>56</v>
      </c>
      <c r="J9" s="28" t="s">
        <v>55</v>
      </c>
      <c r="K9" s="28" t="s">
        <v>56</v>
      </c>
      <c r="L9" s="28" t="s">
        <v>56</v>
      </c>
      <c r="M9" s="28" t="s">
        <v>56</v>
      </c>
      <c r="N9" s="28" t="s">
        <v>55</v>
      </c>
      <c r="O9" s="29">
        <v>4.5707404008896876E-2</v>
      </c>
      <c r="P9" s="30">
        <v>5130788</v>
      </c>
      <c r="Q9" s="30">
        <v>234515</v>
      </c>
      <c r="R9" s="4"/>
      <c r="S9" s="6"/>
      <c r="T9" s="6"/>
      <c r="U9" s="6"/>
      <c r="V9" s="3"/>
    </row>
    <row r="10" spans="1:22" ht="15" customHeight="1" x14ac:dyDescent="0.4">
      <c r="A10" s="28" t="s">
        <v>56</v>
      </c>
      <c r="B10" s="28" t="s">
        <v>56</v>
      </c>
      <c r="C10" s="28" t="s">
        <v>55</v>
      </c>
      <c r="D10" s="28" t="s">
        <v>55</v>
      </c>
      <c r="E10" s="28" t="s">
        <v>56</v>
      </c>
      <c r="F10" s="28" t="s">
        <v>55</v>
      </c>
      <c r="G10" s="28" t="s">
        <v>56</v>
      </c>
      <c r="H10" s="28" t="s">
        <v>56</v>
      </c>
      <c r="I10" s="28" t="s">
        <v>56</v>
      </c>
      <c r="J10" s="28" t="s">
        <v>55</v>
      </c>
      <c r="K10" s="28" t="s">
        <v>56</v>
      </c>
      <c r="L10" s="28" t="s">
        <v>56</v>
      </c>
      <c r="M10" s="28" t="s">
        <v>55</v>
      </c>
      <c r="N10" s="28" t="s">
        <v>56</v>
      </c>
      <c r="O10" s="29">
        <v>0.14792724404791247</v>
      </c>
      <c r="P10" s="30">
        <v>20287</v>
      </c>
      <c r="Q10" s="30">
        <v>3001</v>
      </c>
      <c r="R10" s="4"/>
      <c r="S10" s="6"/>
      <c r="T10" s="6"/>
      <c r="U10" s="6"/>
    </row>
    <row r="11" spans="1:22" ht="15" customHeight="1" x14ac:dyDescent="0.4">
      <c r="A11" s="28" t="s">
        <v>56</v>
      </c>
      <c r="B11" s="28" t="s">
        <v>56</v>
      </c>
      <c r="C11" s="28" t="s">
        <v>55</v>
      </c>
      <c r="D11" s="28" t="s">
        <v>55</v>
      </c>
      <c r="E11" s="28" t="s">
        <v>56</v>
      </c>
      <c r="F11" s="28" t="s">
        <v>55</v>
      </c>
      <c r="G11" s="28" t="s">
        <v>56</v>
      </c>
      <c r="H11" s="28" t="s">
        <v>56</v>
      </c>
      <c r="I11" s="28" t="s">
        <v>56</v>
      </c>
      <c r="J11" s="28" t="s">
        <v>55</v>
      </c>
      <c r="K11" s="28" t="s">
        <v>56</v>
      </c>
      <c r="L11" s="28" t="s">
        <v>56</v>
      </c>
      <c r="M11" s="28" t="s">
        <v>56</v>
      </c>
      <c r="N11" s="28" t="s">
        <v>55</v>
      </c>
      <c r="O11" s="29">
        <v>9.9693516893645417E-2</v>
      </c>
      <c r="P11" s="30">
        <v>80918</v>
      </c>
      <c r="Q11" s="30">
        <v>8067</v>
      </c>
      <c r="R11" s="4"/>
      <c r="S11" s="4"/>
      <c r="T11" s="4"/>
      <c r="U11" s="4"/>
    </row>
    <row r="12" spans="1:22" ht="15" customHeight="1" x14ac:dyDescent="0.4">
      <c r="A12" s="28" t="s">
        <v>56</v>
      </c>
      <c r="B12" s="28" t="s">
        <v>56</v>
      </c>
      <c r="C12" s="28" t="s">
        <v>55</v>
      </c>
      <c r="D12" s="28" t="s">
        <v>56</v>
      </c>
      <c r="E12" s="28" t="s">
        <v>55</v>
      </c>
      <c r="F12" s="28" t="s">
        <v>55</v>
      </c>
      <c r="G12" s="28" t="s">
        <v>56</v>
      </c>
      <c r="H12" s="28" t="s">
        <v>56</v>
      </c>
      <c r="I12" s="28" t="s">
        <v>56</v>
      </c>
      <c r="J12" s="28" t="s">
        <v>55</v>
      </c>
      <c r="K12" s="28" t="s">
        <v>56</v>
      </c>
      <c r="L12" s="28" t="s">
        <v>56</v>
      </c>
      <c r="M12" s="28" t="s">
        <v>55</v>
      </c>
      <c r="N12" s="28" t="s">
        <v>56</v>
      </c>
      <c r="O12" s="29">
        <v>0.10310097317691889</v>
      </c>
      <c r="P12" s="31">
        <v>638219</v>
      </c>
      <c r="Q12" s="31">
        <v>65801</v>
      </c>
      <c r="R12" s="4"/>
    </row>
    <row r="13" spans="1:22" ht="15" customHeight="1" x14ac:dyDescent="0.4">
      <c r="A13" s="28" t="s">
        <v>56</v>
      </c>
      <c r="B13" s="28" t="s">
        <v>56</v>
      </c>
      <c r="C13" s="28" t="s">
        <v>55</v>
      </c>
      <c r="D13" s="28" t="s">
        <v>56</v>
      </c>
      <c r="E13" s="28" t="s">
        <v>55</v>
      </c>
      <c r="F13" s="28" t="s">
        <v>55</v>
      </c>
      <c r="G13" s="28" t="s">
        <v>56</v>
      </c>
      <c r="H13" s="28" t="s">
        <v>56</v>
      </c>
      <c r="I13" s="28" t="s">
        <v>56</v>
      </c>
      <c r="J13" s="28" t="s">
        <v>55</v>
      </c>
      <c r="K13" s="28" t="s">
        <v>56</v>
      </c>
      <c r="L13" s="28" t="s">
        <v>56</v>
      </c>
      <c r="M13" s="28" t="s">
        <v>56</v>
      </c>
      <c r="N13" s="28" t="s">
        <v>55</v>
      </c>
      <c r="O13" s="29">
        <v>7.3915101832817701E-2</v>
      </c>
      <c r="P13" s="31">
        <v>1907391</v>
      </c>
      <c r="Q13" s="31">
        <v>140985</v>
      </c>
      <c r="R13" s="4"/>
    </row>
    <row r="14" spans="1:22" ht="15" customHeight="1" x14ac:dyDescent="0.4">
      <c r="A14" s="28" t="s">
        <v>55</v>
      </c>
      <c r="B14" s="28" t="s">
        <v>56</v>
      </c>
      <c r="C14" s="28" t="s">
        <v>56</v>
      </c>
      <c r="D14" s="28" t="s">
        <v>55</v>
      </c>
      <c r="E14" s="28" t="s">
        <v>56</v>
      </c>
      <c r="F14" s="28" t="s">
        <v>56</v>
      </c>
      <c r="G14" s="28" t="s">
        <v>55</v>
      </c>
      <c r="H14" s="28" t="s">
        <v>56</v>
      </c>
      <c r="I14" s="28" t="s">
        <v>56</v>
      </c>
      <c r="J14" s="28" t="s">
        <v>55</v>
      </c>
      <c r="K14" s="28" t="s">
        <v>56</v>
      </c>
      <c r="L14" s="28" t="s">
        <v>56</v>
      </c>
      <c r="M14" s="28" t="s">
        <v>55</v>
      </c>
      <c r="N14" s="28" t="s">
        <v>56</v>
      </c>
      <c r="O14" s="29">
        <v>0.22074788902291917</v>
      </c>
      <c r="P14" s="31">
        <v>5803</v>
      </c>
      <c r="Q14" s="31">
        <v>1281</v>
      </c>
      <c r="R14" s="3"/>
    </row>
    <row r="15" spans="1:22" ht="15" customHeight="1" x14ac:dyDescent="0.4">
      <c r="A15" s="28" t="s">
        <v>55</v>
      </c>
      <c r="B15" s="28" t="s">
        <v>56</v>
      </c>
      <c r="C15" s="28" t="s">
        <v>56</v>
      </c>
      <c r="D15" s="28" t="s">
        <v>55</v>
      </c>
      <c r="E15" s="28" t="s">
        <v>56</v>
      </c>
      <c r="F15" s="28" t="s">
        <v>56</v>
      </c>
      <c r="G15" s="28" t="s">
        <v>55</v>
      </c>
      <c r="H15" s="28" t="s">
        <v>56</v>
      </c>
      <c r="I15" s="28" t="s">
        <v>56</v>
      </c>
      <c r="J15" s="28" t="s">
        <v>55</v>
      </c>
      <c r="K15" s="28" t="s">
        <v>56</v>
      </c>
      <c r="L15" s="28" t="s">
        <v>56</v>
      </c>
      <c r="M15" s="28" t="s">
        <v>56</v>
      </c>
      <c r="N15" s="28" t="s">
        <v>55</v>
      </c>
      <c r="O15" s="29">
        <v>0.21227197346600332</v>
      </c>
      <c r="P15" s="31">
        <v>603</v>
      </c>
      <c r="Q15" s="31">
        <v>128</v>
      </c>
      <c r="R15" s="3"/>
      <c r="S15" s="3"/>
    </row>
    <row r="16" spans="1:22" ht="15" customHeight="1" x14ac:dyDescent="0.4">
      <c r="A16" s="28" t="s">
        <v>55</v>
      </c>
      <c r="B16" s="28" t="s">
        <v>56</v>
      </c>
      <c r="C16" s="28" t="s">
        <v>56</v>
      </c>
      <c r="D16" s="28" t="s">
        <v>56</v>
      </c>
      <c r="E16" s="28" t="s">
        <v>55</v>
      </c>
      <c r="F16" s="28" t="s">
        <v>56</v>
      </c>
      <c r="G16" s="28" t="s">
        <v>55</v>
      </c>
      <c r="H16" s="28" t="s">
        <v>56</v>
      </c>
      <c r="I16" s="28" t="s">
        <v>56</v>
      </c>
      <c r="J16" s="28" t="s">
        <v>55</v>
      </c>
      <c r="K16" s="28" t="s">
        <v>56</v>
      </c>
      <c r="L16" s="28" t="s">
        <v>56</v>
      </c>
      <c r="M16" s="28" t="s">
        <v>55</v>
      </c>
      <c r="N16" s="28" t="s">
        <v>56</v>
      </c>
      <c r="O16" s="29">
        <v>0.11209764885383923</v>
      </c>
      <c r="P16" s="31">
        <v>217596</v>
      </c>
      <c r="Q16" s="31">
        <v>24392</v>
      </c>
      <c r="R16" s="4"/>
    </row>
    <row r="17" spans="1:19" ht="15" customHeight="1" x14ac:dyDescent="0.4">
      <c r="A17" s="28" t="s">
        <v>55</v>
      </c>
      <c r="B17" s="28" t="s">
        <v>56</v>
      </c>
      <c r="C17" s="28" t="s">
        <v>56</v>
      </c>
      <c r="D17" s="28" t="s">
        <v>56</v>
      </c>
      <c r="E17" s="28" t="s">
        <v>55</v>
      </c>
      <c r="F17" s="28" t="s">
        <v>56</v>
      </c>
      <c r="G17" s="28" t="s">
        <v>55</v>
      </c>
      <c r="H17" s="28" t="s">
        <v>56</v>
      </c>
      <c r="I17" s="28" t="s">
        <v>56</v>
      </c>
      <c r="J17" s="28" t="s">
        <v>55</v>
      </c>
      <c r="K17" s="28" t="s">
        <v>56</v>
      </c>
      <c r="L17" s="28" t="s">
        <v>56</v>
      </c>
      <c r="M17" s="28" t="s">
        <v>56</v>
      </c>
      <c r="N17" s="28" t="s">
        <v>55</v>
      </c>
      <c r="O17" s="29">
        <v>0.1093220901666556</v>
      </c>
      <c r="P17" s="31">
        <v>30122</v>
      </c>
      <c r="Q17" s="31">
        <v>3293</v>
      </c>
      <c r="R17" s="3"/>
      <c r="S17" s="3"/>
    </row>
    <row r="18" spans="1:19" ht="15" customHeight="1" x14ac:dyDescent="0.4">
      <c r="A18" s="28" t="s">
        <v>56</v>
      </c>
      <c r="B18" s="28" t="s">
        <v>55</v>
      </c>
      <c r="C18" s="28" t="s">
        <v>56</v>
      </c>
      <c r="D18" s="28" t="s">
        <v>55</v>
      </c>
      <c r="E18" s="28" t="s">
        <v>56</v>
      </c>
      <c r="F18" s="28" t="s">
        <v>56</v>
      </c>
      <c r="G18" s="28" t="s">
        <v>55</v>
      </c>
      <c r="H18" s="28" t="s">
        <v>56</v>
      </c>
      <c r="I18" s="28" t="s">
        <v>56</v>
      </c>
      <c r="J18" s="28" t="s">
        <v>55</v>
      </c>
      <c r="K18" s="28" t="s">
        <v>56</v>
      </c>
      <c r="L18" s="28" t="s">
        <v>56</v>
      </c>
      <c r="M18" s="28" t="s">
        <v>55</v>
      </c>
      <c r="N18" s="28" t="s">
        <v>56</v>
      </c>
      <c r="O18" s="29">
        <v>0.19209729192097291</v>
      </c>
      <c r="P18" s="31">
        <v>66357</v>
      </c>
      <c r="Q18" s="31">
        <v>12747</v>
      </c>
      <c r="R18" s="3"/>
    </row>
    <row r="19" spans="1:19" ht="15" customHeight="1" x14ac:dyDescent="0.4">
      <c r="A19" s="28" t="s">
        <v>56</v>
      </c>
      <c r="B19" s="28" t="s">
        <v>55</v>
      </c>
      <c r="C19" s="28" t="s">
        <v>56</v>
      </c>
      <c r="D19" s="28" t="s">
        <v>55</v>
      </c>
      <c r="E19" s="28" t="s">
        <v>56</v>
      </c>
      <c r="F19" s="28" t="s">
        <v>56</v>
      </c>
      <c r="G19" s="28" t="s">
        <v>55</v>
      </c>
      <c r="H19" s="28" t="s">
        <v>56</v>
      </c>
      <c r="I19" s="28" t="s">
        <v>56</v>
      </c>
      <c r="J19" s="28" t="s">
        <v>55</v>
      </c>
      <c r="K19" s="28" t="s">
        <v>56</v>
      </c>
      <c r="L19" s="28" t="s">
        <v>56</v>
      </c>
      <c r="M19" s="28" t="s">
        <v>56</v>
      </c>
      <c r="N19" s="28" t="s">
        <v>55</v>
      </c>
      <c r="O19" s="29">
        <v>0.16679911699779248</v>
      </c>
      <c r="P19" s="31">
        <v>22650</v>
      </c>
      <c r="Q19" s="31">
        <v>3778</v>
      </c>
    </row>
    <row r="20" spans="1:19" ht="15" customHeight="1" x14ac:dyDescent="0.4">
      <c r="A20" s="28" t="s">
        <v>56</v>
      </c>
      <c r="B20" s="28" t="s">
        <v>55</v>
      </c>
      <c r="C20" s="28" t="s">
        <v>56</v>
      </c>
      <c r="D20" s="28" t="s">
        <v>56</v>
      </c>
      <c r="E20" s="28" t="s">
        <v>55</v>
      </c>
      <c r="F20" s="28" t="s">
        <v>56</v>
      </c>
      <c r="G20" s="28" t="s">
        <v>55</v>
      </c>
      <c r="H20" s="28" t="s">
        <v>56</v>
      </c>
      <c r="I20" s="28" t="s">
        <v>56</v>
      </c>
      <c r="J20" s="28" t="s">
        <v>55</v>
      </c>
      <c r="K20" s="28" t="s">
        <v>56</v>
      </c>
      <c r="L20" s="28" t="s">
        <v>56</v>
      </c>
      <c r="M20" s="28" t="s">
        <v>55</v>
      </c>
      <c r="N20" s="28" t="s">
        <v>56</v>
      </c>
      <c r="O20" s="29">
        <v>0.10307536287239762</v>
      </c>
      <c r="P20" s="31">
        <v>1586577</v>
      </c>
      <c r="Q20" s="31">
        <v>163537</v>
      </c>
      <c r="R20" s="3"/>
    </row>
    <row r="21" spans="1:19" ht="15" customHeight="1" x14ac:dyDescent="0.4">
      <c r="A21" s="28" t="s">
        <v>56</v>
      </c>
      <c r="B21" s="28" t="s">
        <v>55</v>
      </c>
      <c r="C21" s="28" t="s">
        <v>56</v>
      </c>
      <c r="D21" s="28" t="s">
        <v>56</v>
      </c>
      <c r="E21" s="28" t="s">
        <v>55</v>
      </c>
      <c r="F21" s="28" t="s">
        <v>56</v>
      </c>
      <c r="G21" s="28" t="s">
        <v>55</v>
      </c>
      <c r="H21" s="28" t="s">
        <v>56</v>
      </c>
      <c r="I21" s="28" t="s">
        <v>56</v>
      </c>
      <c r="J21" s="28" t="s">
        <v>55</v>
      </c>
      <c r="K21" s="28" t="s">
        <v>56</v>
      </c>
      <c r="L21" s="28" t="s">
        <v>56</v>
      </c>
      <c r="M21" s="28" t="s">
        <v>56</v>
      </c>
      <c r="N21" s="28" t="s">
        <v>55</v>
      </c>
      <c r="O21" s="29">
        <v>9.5913511780183411E-2</v>
      </c>
      <c r="P21" s="31">
        <v>698546</v>
      </c>
      <c r="Q21" s="31">
        <v>67000</v>
      </c>
    </row>
    <row r="22" spans="1:19" ht="15" customHeight="1" x14ac:dyDescent="0.4">
      <c r="A22" s="28" t="s">
        <v>56</v>
      </c>
      <c r="B22" s="28" t="s">
        <v>56</v>
      </c>
      <c r="C22" s="28" t="s">
        <v>55</v>
      </c>
      <c r="D22" s="28" t="s">
        <v>55</v>
      </c>
      <c r="E22" s="28" t="s">
        <v>56</v>
      </c>
      <c r="F22" s="28" t="s">
        <v>56</v>
      </c>
      <c r="G22" s="28" t="s">
        <v>55</v>
      </c>
      <c r="H22" s="28" t="s">
        <v>56</v>
      </c>
      <c r="I22" s="28" t="s">
        <v>56</v>
      </c>
      <c r="J22" s="28" t="s">
        <v>55</v>
      </c>
      <c r="K22" s="28" t="s">
        <v>56</v>
      </c>
      <c r="L22" s="28" t="s">
        <v>56</v>
      </c>
      <c r="M22" s="28" t="s">
        <v>55</v>
      </c>
      <c r="N22" s="28" t="s">
        <v>56</v>
      </c>
      <c r="O22" s="29">
        <v>0.20474353479068438</v>
      </c>
      <c r="P22" s="31">
        <v>6999</v>
      </c>
      <c r="Q22" s="31">
        <v>1433</v>
      </c>
      <c r="R22" s="3"/>
    </row>
    <row r="23" spans="1:19" ht="15" customHeight="1" x14ac:dyDescent="0.4">
      <c r="A23" s="28" t="s">
        <v>56</v>
      </c>
      <c r="B23" s="28" t="s">
        <v>56</v>
      </c>
      <c r="C23" s="28" t="s">
        <v>55</v>
      </c>
      <c r="D23" s="28" t="s">
        <v>55</v>
      </c>
      <c r="E23" s="28" t="s">
        <v>56</v>
      </c>
      <c r="F23" s="28" t="s">
        <v>56</v>
      </c>
      <c r="G23" s="28" t="s">
        <v>55</v>
      </c>
      <c r="H23" s="28" t="s">
        <v>56</v>
      </c>
      <c r="I23" s="28" t="s">
        <v>56</v>
      </c>
      <c r="J23" s="28" t="s">
        <v>55</v>
      </c>
      <c r="K23" s="28" t="s">
        <v>56</v>
      </c>
      <c r="L23" s="28" t="s">
        <v>56</v>
      </c>
      <c r="M23" s="28" t="s">
        <v>56</v>
      </c>
      <c r="N23" s="28" t="s">
        <v>55</v>
      </c>
      <c r="O23" s="29">
        <v>0.17778936392075079</v>
      </c>
      <c r="P23" s="31">
        <v>7672</v>
      </c>
      <c r="Q23" s="31">
        <v>1364</v>
      </c>
      <c r="R23" s="4"/>
    </row>
    <row r="24" spans="1:19" ht="15" customHeight="1" x14ac:dyDescent="0.4">
      <c r="A24" s="28" t="s">
        <v>56</v>
      </c>
      <c r="B24" s="28" t="s">
        <v>56</v>
      </c>
      <c r="C24" s="28" t="s">
        <v>55</v>
      </c>
      <c r="D24" s="28" t="s">
        <v>56</v>
      </c>
      <c r="E24" s="28" t="s">
        <v>55</v>
      </c>
      <c r="F24" s="28" t="s">
        <v>56</v>
      </c>
      <c r="G24" s="28" t="s">
        <v>55</v>
      </c>
      <c r="H24" s="28" t="s">
        <v>56</v>
      </c>
      <c r="I24" s="28" t="s">
        <v>56</v>
      </c>
      <c r="J24" s="28" t="s">
        <v>55</v>
      </c>
      <c r="K24" s="28" t="s">
        <v>56</v>
      </c>
      <c r="L24" s="28" t="s">
        <v>56</v>
      </c>
      <c r="M24" s="28" t="s">
        <v>55</v>
      </c>
      <c r="N24" s="28" t="s">
        <v>56</v>
      </c>
      <c r="O24" s="29">
        <v>0.13629422736805483</v>
      </c>
      <c r="P24" s="31">
        <v>206942</v>
      </c>
      <c r="Q24" s="31">
        <v>28205</v>
      </c>
      <c r="R24" s="3"/>
    </row>
    <row r="25" spans="1:19" ht="15" customHeight="1" x14ac:dyDescent="0.4">
      <c r="A25" s="28" t="s">
        <v>56</v>
      </c>
      <c r="B25" s="28" t="s">
        <v>56</v>
      </c>
      <c r="C25" s="28" t="s">
        <v>55</v>
      </c>
      <c r="D25" s="28" t="s">
        <v>56</v>
      </c>
      <c r="E25" s="28" t="s">
        <v>55</v>
      </c>
      <c r="F25" s="28" t="s">
        <v>56</v>
      </c>
      <c r="G25" s="28" t="s">
        <v>55</v>
      </c>
      <c r="H25" s="28" t="s">
        <v>56</v>
      </c>
      <c r="I25" s="28" t="s">
        <v>56</v>
      </c>
      <c r="J25" s="28" t="s">
        <v>55</v>
      </c>
      <c r="K25" s="28" t="s">
        <v>56</v>
      </c>
      <c r="L25" s="28" t="s">
        <v>56</v>
      </c>
      <c r="M25" s="28" t="s">
        <v>56</v>
      </c>
      <c r="N25" s="28" t="s">
        <v>55</v>
      </c>
      <c r="O25" s="29">
        <v>0.12223208748455144</v>
      </c>
      <c r="P25" s="31">
        <v>224131</v>
      </c>
      <c r="Q25" s="31">
        <v>27396</v>
      </c>
      <c r="R25" s="3"/>
    </row>
    <row r="26" spans="1:19" ht="15" customHeight="1" x14ac:dyDescent="0.4">
      <c r="A26" s="28" t="s">
        <v>55</v>
      </c>
      <c r="B26" s="28" t="s">
        <v>56</v>
      </c>
      <c r="C26" s="28" t="s">
        <v>56</v>
      </c>
      <c r="D26" s="28" t="s">
        <v>55</v>
      </c>
      <c r="E26" s="28" t="s">
        <v>56</v>
      </c>
      <c r="F26" s="28" t="s">
        <v>56</v>
      </c>
      <c r="G26" s="28" t="s">
        <v>56</v>
      </c>
      <c r="H26" s="28" t="s">
        <v>55</v>
      </c>
      <c r="I26" s="28" t="s">
        <v>56</v>
      </c>
      <c r="J26" s="28" t="s">
        <v>55</v>
      </c>
      <c r="K26" s="28" t="s">
        <v>56</v>
      </c>
      <c r="L26" s="28" t="s">
        <v>56</v>
      </c>
      <c r="M26" s="28" t="s">
        <v>55</v>
      </c>
      <c r="N26" s="28" t="s">
        <v>56</v>
      </c>
      <c r="O26" s="29">
        <v>0.17959183673469387</v>
      </c>
      <c r="P26" s="31">
        <v>245</v>
      </c>
      <c r="Q26" s="31">
        <v>44</v>
      </c>
      <c r="R26" s="3"/>
    </row>
    <row r="27" spans="1:19" ht="15" customHeight="1" x14ac:dyDescent="0.4">
      <c r="A27" s="32" t="s">
        <v>55</v>
      </c>
      <c r="B27" s="32" t="s">
        <v>56</v>
      </c>
      <c r="C27" s="32" t="s">
        <v>56</v>
      </c>
      <c r="D27" s="32" t="s">
        <v>55</v>
      </c>
      <c r="E27" s="32" t="s">
        <v>56</v>
      </c>
      <c r="F27" s="32" t="s">
        <v>56</v>
      </c>
      <c r="G27" s="32" t="s">
        <v>56</v>
      </c>
      <c r="H27" s="32" t="s">
        <v>55</v>
      </c>
      <c r="I27" s="32" t="s">
        <v>56</v>
      </c>
      <c r="J27" s="32" t="s">
        <v>55</v>
      </c>
      <c r="K27" s="32" t="s">
        <v>56</v>
      </c>
      <c r="L27" s="32" t="s">
        <v>56</v>
      </c>
      <c r="M27" s="32" t="s">
        <v>56</v>
      </c>
      <c r="N27" s="32" t="s">
        <v>55</v>
      </c>
      <c r="O27" s="33">
        <v>0.17960000000000001</v>
      </c>
      <c r="P27" s="31" t="s">
        <v>57</v>
      </c>
      <c r="Q27" s="31" t="s">
        <v>57</v>
      </c>
      <c r="R27" s="3"/>
    </row>
    <row r="28" spans="1:19" ht="15" customHeight="1" x14ac:dyDescent="0.4">
      <c r="A28" s="28" t="s">
        <v>55</v>
      </c>
      <c r="B28" s="28" t="s">
        <v>56</v>
      </c>
      <c r="C28" s="28" t="s">
        <v>56</v>
      </c>
      <c r="D28" s="28" t="s">
        <v>56</v>
      </c>
      <c r="E28" s="28" t="s">
        <v>55</v>
      </c>
      <c r="F28" s="28" t="s">
        <v>56</v>
      </c>
      <c r="G28" s="28" t="s">
        <v>56</v>
      </c>
      <c r="H28" s="28" t="s">
        <v>55</v>
      </c>
      <c r="I28" s="28" t="s">
        <v>56</v>
      </c>
      <c r="J28" s="28" t="s">
        <v>55</v>
      </c>
      <c r="K28" s="28" t="s">
        <v>56</v>
      </c>
      <c r="L28" s="28" t="s">
        <v>56</v>
      </c>
      <c r="M28" s="28" t="s">
        <v>55</v>
      </c>
      <c r="N28" s="28" t="s">
        <v>56</v>
      </c>
      <c r="O28" s="29">
        <v>9.7563493702250675E-2</v>
      </c>
      <c r="P28" s="31">
        <v>9686</v>
      </c>
      <c r="Q28" s="31">
        <v>945</v>
      </c>
      <c r="R28" s="3"/>
    </row>
    <row r="29" spans="1:19" ht="15" customHeight="1" x14ac:dyDescent="0.4">
      <c r="A29" s="28" t="s">
        <v>55</v>
      </c>
      <c r="B29" s="28" t="s">
        <v>56</v>
      </c>
      <c r="C29" s="28" t="s">
        <v>56</v>
      </c>
      <c r="D29" s="28" t="s">
        <v>56</v>
      </c>
      <c r="E29" s="28" t="s">
        <v>55</v>
      </c>
      <c r="F29" s="28" t="s">
        <v>56</v>
      </c>
      <c r="G29" s="28" t="s">
        <v>56</v>
      </c>
      <c r="H29" s="28" t="s">
        <v>55</v>
      </c>
      <c r="I29" s="28" t="s">
        <v>56</v>
      </c>
      <c r="J29" s="28" t="s">
        <v>55</v>
      </c>
      <c r="K29" s="28" t="s">
        <v>56</v>
      </c>
      <c r="L29" s="28" t="s">
        <v>56</v>
      </c>
      <c r="M29" s="28" t="s">
        <v>56</v>
      </c>
      <c r="N29" s="28" t="s">
        <v>55</v>
      </c>
      <c r="O29" s="29">
        <v>0.10953769262807164</v>
      </c>
      <c r="P29" s="31">
        <v>2401</v>
      </c>
      <c r="Q29" s="31">
        <v>263</v>
      </c>
      <c r="R29" s="3"/>
    </row>
    <row r="30" spans="1:19" ht="15" customHeight="1" x14ac:dyDescent="0.4">
      <c r="A30" s="28" t="s">
        <v>56</v>
      </c>
      <c r="B30" s="28" t="s">
        <v>55</v>
      </c>
      <c r="C30" s="28" t="s">
        <v>56</v>
      </c>
      <c r="D30" s="28" t="s">
        <v>55</v>
      </c>
      <c r="E30" s="28" t="s">
        <v>56</v>
      </c>
      <c r="F30" s="28" t="s">
        <v>56</v>
      </c>
      <c r="G30" s="28" t="s">
        <v>56</v>
      </c>
      <c r="H30" s="28" t="s">
        <v>55</v>
      </c>
      <c r="I30" s="28" t="s">
        <v>56</v>
      </c>
      <c r="J30" s="28" t="s">
        <v>55</v>
      </c>
      <c r="K30" s="28" t="s">
        <v>56</v>
      </c>
      <c r="L30" s="28" t="s">
        <v>56</v>
      </c>
      <c r="M30" s="28" t="s">
        <v>55</v>
      </c>
      <c r="N30" s="28" t="s">
        <v>56</v>
      </c>
      <c r="O30" s="29">
        <v>0.13323690131790422</v>
      </c>
      <c r="P30" s="31">
        <v>6222</v>
      </c>
      <c r="Q30" s="31">
        <v>829</v>
      </c>
      <c r="R30" s="3"/>
    </row>
    <row r="31" spans="1:19" ht="15" customHeight="1" x14ac:dyDescent="0.4">
      <c r="A31" s="28" t="s">
        <v>56</v>
      </c>
      <c r="B31" s="28" t="s">
        <v>55</v>
      </c>
      <c r="C31" s="28" t="s">
        <v>56</v>
      </c>
      <c r="D31" s="28" t="s">
        <v>55</v>
      </c>
      <c r="E31" s="28" t="s">
        <v>56</v>
      </c>
      <c r="F31" s="28" t="s">
        <v>56</v>
      </c>
      <c r="G31" s="28" t="s">
        <v>56</v>
      </c>
      <c r="H31" s="28" t="s">
        <v>55</v>
      </c>
      <c r="I31" s="28" t="s">
        <v>56</v>
      </c>
      <c r="J31" s="28" t="s">
        <v>55</v>
      </c>
      <c r="K31" s="28" t="s">
        <v>56</v>
      </c>
      <c r="L31" s="28" t="s">
        <v>56</v>
      </c>
      <c r="M31" s="28" t="s">
        <v>56</v>
      </c>
      <c r="N31" s="28" t="s">
        <v>55</v>
      </c>
      <c r="O31" s="29">
        <v>0.10705028512182478</v>
      </c>
      <c r="P31" s="31">
        <v>15432</v>
      </c>
      <c r="Q31" s="31">
        <v>1652</v>
      </c>
    </row>
    <row r="32" spans="1:19" ht="15" customHeight="1" x14ac:dyDescent="0.4">
      <c r="A32" s="28" t="s">
        <v>56</v>
      </c>
      <c r="B32" s="28" t="s">
        <v>55</v>
      </c>
      <c r="C32" s="28" t="s">
        <v>56</v>
      </c>
      <c r="D32" s="28" t="s">
        <v>56</v>
      </c>
      <c r="E32" s="28" t="s">
        <v>55</v>
      </c>
      <c r="F32" s="28" t="s">
        <v>56</v>
      </c>
      <c r="G32" s="28" t="s">
        <v>56</v>
      </c>
      <c r="H32" s="28" t="s">
        <v>55</v>
      </c>
      <c r="I32" s="28" t="s">
        <v>56</v>
      </c>
      <c r="J32" s="28" t="s">
        <v>55</v>
      </c>
      <c r="K32" s="28" t="s">
        <v>56</v>
      </c>
      <c r="L32" s="28" t="s">
        <v>56</v>
      </c>
      <c r="M32" s="28" t="s">
        <v>55</v>
      </c>
      <c r="N32" s="28" t="s">
        <v>56</v>
      </c>
      <c r="O32" s="29">
        <v>6.8665718471623657E-2</v>
      </c>
      <c r="P32" s="31">
        <v>280533</v>
      </c>
      <c r="Q32" s="31">
        <v>19263</v>
      </c>
    </row>
    <row r="33" spans="1:21" ht="15" customHeight="1" x14ac:dyDescent="0.4">
      <c r="A33" s="28" t="s">
        <v>56</v>
      </c>
      <c r="B33" s="28" t="s">
        <v>55</v>
      </c>
      <c r="C33" s="28" t="s">
        <v>56</v>
      </c>
      <c r="D33" s="28" t="s">
        <v>56</v>
      </c>
      <c r="E33" s="28" t="s">
        <v>55</v>
      </c>
      <c r="F33" s="28" t="s">
        <v>56</v>
      </c>
      <c r="G33" s="28" t="s">
        <v>56</v>
      </c>
      <c r="H33" s="28" t="s">
        <v>55</v>
      </c>
      <c r="I33" s="28" t="s">
        <v>56</v>
      </c>
      <c r="J33" s="28" t="s">
        <v>55</v>
      </c>
      <c r="K33" s="28" t="s">
        <v>56</v>
      </c>
      <c r="L33" s="28" t="s">
        <v>56</v>
      </c>
      <c r="M33" s="28" t="s">
        <v>56</v>
      </c>
      <c r="N33" s="28" t="s">
        <v>55</v>
      </c>
      <c r="O33" s="29">
        <v>6.5942625090481682E-2</v>
      </c>
      <c r="P33" s="31">
        <v>708707</v>
      </c>
      <c r="Q33" s="31">
        <v>46734</v>
      </c>
      <c r="R33" s="3"/>
    </row>
    <row r="34" spans="1:21" ht="15" customHeight="1" x14ac:dyDescent="0.4">
      <c r="A34" s="28" t="s">
        <v>56</v>
      </c>
      <c r="B34" s="28" t="s">
        <v>56</v>
      </c>
      <c r="C34" s="28" t="s">
        <v>55</v>
      </c>
      <c r="D34" s="28" t="s">
        <v>55</v>
      </c>
      <c r="E34" s="28" t="s">
        <v>56</v>
      </c>
      <c r="F34" s="28" t="s">
        <v>56</v>
      </c>
      <c r="G34" s="28" t="s">
        <v>56</v>
      </c>
      <c r="H34" s="28" t="s">
        <v>55</v>
      </c>
      <c r="I34" s="28" t="s">
        <v>56</v>
      </c>
      <c r="J34" s="28" t="s">
        <v>55</v>
      </c>
      <c r="K34" s="28" t="s">
        <v>56</v>
      </c>
      <c r="L34" s="28" t="s">
        <v>56</v>
      </c>
      <c r="M34" s="28" t="s">
        <v>55</v>
      </c>
      <c r="N34" s="28" t="s">
        <v>56</v>
      </c>
      <c r="O34" s="29">
        <v>0.138671875</v>
      </c>
      <c r="P34" s="31">
        <v>1536</v>
      </c>
      <c r="Q34" s="31">
        <v>213</v>
      </c>
    </row>
    <row r="35" spans="1:21" ht="15" customHeight="1" x14ac:dyDescent="0.4">
      <c r="A35" s="28" t="s">
        <v>56</v>
      </c>
      <c r="B35" s="28" t="s">
        <v>56</v>
      </c>
      <c r="C35" s="28" t="s">
        <v>55</v>
      </c>
      <c r="D35" s="28" t="s">
        <v>55</v>
      </c>
      <c r="E35" s="28" t="s">
        <v>56</v>
      </c>
      <c r="F35" s="28" t="s">
        <v>56</v>
      </c>
      <c r="G35" s="28" t="s">
        <v>56</v>
      </c>
      <c r="H35" s="28" t="s">
        <v>55</v>
      </c>
      <c r="I35" s="28" t="s">
        <v>56</v>
      </c>
      <c r="J35" s="28" t="s">
        <v>55</v>
      </c>
      <c r="K35" s="28" t="s">
        <v>56</v>
      </c>
      <c r="L35" s="28" t="s">
        <v>56</v>
      </c>
      <c r="M35" s="28" t="s">
        <v>56</v>
      </c>
      <c r="N35" s="28" t="s">
        <v>55</v>
      </c>
      <c r="O35" s="29">
        <v>0.11874934203600379</v>
      </c>
      <c r="P35" s="31">
        <v>9499</v>
      </c>
      <c r="Q35" s="31">
        <v>1128</v>
      </c>
      <c r="R35" s="3"/>
    </row>
    <row r="36" spans="1:21" ht="15" customHeight="1" x14ac:dyDescent="0.4">
      <c r="A36" s="28" t="s">
        <v>56</v>
      </c>
      <c r="B36" s="28" t="s">
        <v>56</v>
      </c>
      <c r="C36" s="28" t="s">
        <v>55</v>
      </c>
      <c r="D36" s="28" t="s">
        <v>56</v>
      </c>
      <c r="E36" s="28" t="s">
        <v>55</v>
      </c>
      <c r="F36" s="28" t="s">
        <v>56</v>
      </c>
      <c r="G36" s="28" t="s">
        <v>56</v>
      </c>
      <c r="H36" s="28" t="s">
        <v>55</v>
      </c>
      <c r="I36" s="28" t="s">
        <v>56</v>
      </c>
      <c r="J36" s="28" t="s">
        <v>55</v>
      </c>
      <c r="K36" s="28" t="s">
        <v>56</v>
      </c>
      <c r="L36" s="28" t="s">
        <v>56</v>
      </c>
      <c r="M36" s="28" t="s">
        <v>55</v>
      </c>
      <c r="N36" s="28" t="s">
        <v>56</v>
      </c>
      <c r="O36" s="29">
        <v>9.4085091663784162E-2</v>
      </c>
      <c r="P36" s="31">
        <v>69384</v>
      </c>
      <c r="Q36" s="31">
        <v>6528</v>
      </c>
      <c r="R36" s="3"/>
    </row>
    <row r="37" spans="1:21" ht="15" customHeight="1" x14ac:dyDescent="0.4">
      <c r="A37" s="28" t="s">
        <v>56</v>
      </c>
      <c r="B37" s="28" t="s">
        <v>56</v>
      </c>
      <c r="C37" s="28" t="s">
        <v>55</v>
      </c>
      <c r="D37" s="28" t="s">
        <v>56</v>
      </c>
      <c r="E37" s="28" t="s">
        <v>55</v>
      </c>
      <c r="F37" s="28" t="s">
        <v>56</v>
      </c>
      <c r="G37" s="28" t="s">
        <v>56</v>
      </c>
      <c r="H37" s="28" t="s">
        <v>55</v>
      </c>
      <c r="I37" s="28" t="s">
        <v>56</v>
      </c>
      <c r="J37" s="28" t="s">
        <v>55</v>
      </c>
      <c r="K37" s="28" t="s">
        <v>56</v>
      </c>
      <c r="L37" s="28" t="s">
        <v>56</v>
      </c>
      <c r="M37" s="28" t="s">
        <v>56</v>
      </c>
      <c r="N37" s="28" t="s">
        <v>55</v>
      </c>
      <c r="O37" s="29">
        <v>8.2252313538746638E-2</v>
      </c>
      <c r="P37" s="31">
        <v>341036</v>
      </c>
      <c r="Q37" s="31">
        <v>28051</v>
      </c>
      <c r="R37" s="3"/>
    </row>
    <row r="38" spans="1:21" ht="15" customHeight="1" x14ac:dyDescent="0.4">
      <c r="A38" s="28" t="s">
        <v>55</v>
      </c>
      <c r="B38" s="28" t="s">
        <v>56</v>
      </c>
      <c r="C38" s="28" t="s">
        <v>56</v>
      </c>
      <c r="D38" s="28" t="s">
        <v>55</v>
      </c>
      <c r="E38" s="28" t="s">
        <v>56</v>
      </c>
      <c r="F38" s="28" t="s">
        <v>55</v>
      </c>
      <c r="G38" s="28" t="s">
        <v>56</v>
      </c>
      <c r="H38" s="28" t="s">
        <v>56</v>
      </c>
      <c r="I38" s="28" t="s">
        <v>55</v>
      </c>
      <c r="J38" s="28" t="s">
        <v>55</v>
      </c>
      <c r="K38" s="28" t="s">
        <v>56</v>
      </c>
      <c r="L38" s="28" t="s">
        <v>56</v>
      </c>
      <c r="M38" s="28" t="s">
        <v>55</v>
      </c>
      <c r="N38" s="28" t="s">
        <v>56</v>
      </c>
      <c r="O38" s="29">
        <v>0.53078202995008317</v>
      </c>
      <c r="P38" s="31">
        <v>601</v>
      </c>
      <c r="Q38" s="31">
        <v>319</v>
      </c>
      <c r="R38" s="3"/>
    </row>
    <row r="39" spans="1:21" ht="15" customHeight="1" x14ac:dyDescent="0.4">
      <c r="A39" s="28" t="s">
        <v>55</v>
      </c>
      <c r="B39" s="28" t="s">
        <v>56</v>
      </c>
      <c r="C39" s="28" t="s">
        <v>56</v>
      </c>
      <c r="D39" s="28" t="s">
        <v>55</v>
      </c>
      <c r="E39" s="28" t="s">
        <v>56</v>
      </c>
      <c r="F39" s="28" t="s">
        <v>55</v>
      </c>
      <c r="G39" s="28" t="s">
        <v>56</v>
      </c>
      <c r="H39" s="28" t="s">
        <v>56</v>
      </c>
      <c r="I39" s="28" t="s">
        <v>55</v>
      </c>
      <c r="J39" s="28" t="s">
        <v>55</v>
      </c>
      <c r="K39" s="28" t="s">
        <v>56</v>
      </c>
      <c r="L39" s="28" t="s">
        <v>56</v>
      </c>
      <c r="M39" s="28" t="s">
        <v>56</v>
      </c>
      <c r="N39" s="28" t="s">
        <v>55</v>
      </c>
      <c r="O39" s="29">
        <v>0.51315789473684215</v>
      </c>
      <c r="P39" s="31">
        <v>76</v>
      </c>
      <c r="Q39" s="31">
        <v>39</v>
      </c>
    </row>
    <row r="40" spans="1:21" ht="15" customHeight="1" x14ac:dyDescent="0.4">
      <c r="A40" s="28" t="s">
        <v>55</v>
      </c>
      <c r="B40" s="28" t="s">
        <v>56</v>
      </c>
      <c r="C40" s="28" t="s">
        <v>56</v>
      </c>
      <c r="D40" s="28" t="s">
        <v>56</v>
      </c>
      <c r="E40" s="28" t="s">
        <v>55</v>
      </c>
      <c r="F40" s="28" t="s">
        <v>55</v>
      </c>
      <c r="G40" s="28" t="s">
        <v>56</v>
      </c>
      <c r="H40" s="28" t="s">
        <v>56</v>
      </c>
      <c r="I40" s="28" t="s">
        <v>55</v>
      </c>
      <c r="J40" s="28" t="s">
        <v>55</v>
      </c>
      <c r="K40" s="28" t="s">
        <v>56</v>
      </c>
      <c r="L40" s="28" t="s">
        <v>56</v>
      </c>
      <c r="M40" s="28" t="s">
        <v>55</v>
      </c>
      <c r="N40" s="28" t="s">
        <v>56</v>
      </c>
      <c r="O40" s="29">
        <v>0.28334714167357083</v>
      </c>
      <c r="P40" s="30">
        <v>3621</v>
      </c>
      <c r="Q40" s="30">
        <v>1026</v>
      </c>
      <c r="R40" s="3"/>
    </row>
    <row r="41" spans="1:21" ht="15" customHeight="1" x14ac:dyDescent="0.4">
      <c r="A41" s="28" t="s">
        <v>55</v>
      </c>
      <c r="B41" s="28" t="s">
        <v>56</v>
      </c>
      <c r="C41" s="28" t="s">
        <v>56</v>
      </c>
      <c r="D41" s="28" t="s">
        <v>56</v>
      </c>
      <c r="E41" s="28" t="s">
        <v>55</v>
      </c>
      <c r="F41" s="28" t="s">
        <v>55</v>
      </c>
      <c r="G41" s="28" t="s">
        <v>56</v>
      </c>
      <c r="H41" s="28" t="s">
        <v>56</v>
      </c>
      <c r="I41" s="28" t="s">
        <v>55</v>
      </c>
      <c r="J41" s="28" t="s">
        <v>55</v>
      </c>
      <c r="K41" s="28" t="s">
        <v>56</v>
      </c>
      <c r="L41" s="28" t="s">
        <v>56</v>
      </c>
      <c r="M41" s="28" t="s">
        <v>56</v>
      </c>
      <c r="N41" s="28" t="s">
        <v>55</v>
      </c>
      <c r="O41" s="29">
        <v>0.31934731934731936</v>
      </c>
      <c r="P41" s="30">
        <v>429</v>
      </c>
      <c r="Q41" s="30">
        <v>137</v>
      </c>
    </row>
    <row r="42" spans="1:21" ht="15" customHeight="1" x14ac:dyDescent="0.4">
      <c r="A42" s="28" t="s">
        <v>56</v>
      </c>
      <c r="B42" s="28" t="s">
        <v>55</v>
      </c>
      <c r="C42" s="28" t="s">
        <v>56</v>
      </c>
      <c r="D42" s="28" t="s">
        <v>55</v>
      </c>
      <c r="E42" s="28" t="s">
        <v>56</v>
      </c>
      <c r="F42" s="28" t="s">
        <v>55</v>
      </c>
      <c r="G42" s="28" t="s">
        <v>56</v>
      </c>
      <c r="H42" s="28" t="s">
        <v>56</v>
      </c>
      <c r="I42" s="28" t="s">
        <v>55</v>
      </c>
      <c r="J42" s="28" t="s">
        <v>55</v>
      </c>
      <c r="K42" s="28" t="s">
        <v>56</v>
      </c>
      <c r="L42" s="28" t="s">
        <v>56</v>
      </c>
      <c r="M42" s="28" t="s">
        <v>55</v>
      </c>
      <c r="N42" s="28" t="s">
        <v>56</v>
      </c>
      <c r="O42" s="29">
        <v>0.39493520792750064</v>
      </c>
      <c r="P42" s="30">
        <v>11807</v>
      </c>
      <c r="Q42" s="30">
        <v>4663</v>
      </c>
      <c r="T42" s="3"/>
    </row>
    <row r="43" spans="1:21" ht="15" customHeight="1" x14ac:dyDescent="0.4">
      <c r="A43" s="28" t="s">
        <v>56</v>
      </c>
      <c r="B43" s="28" t="s">
        <v>55</v>
      </c>
      <c r="C43" s="28" t="s">
        <v>56</v>
      </c>
      <c r="D43" s="28" t="s">
        <v>55</v>
      </c>
      <c r="E43" s="28" t="s">
        <v>56</v>
      </c>
      <c r="F43" s="28" t="s">
        <v>55</v>
      </c>
      <c r="G43" s="28" t="s">
        <v>56</v>
      </c>
      <c r="H43" s="28" t="s">
        <v>56</v>
      </c>
      <c r="I43" s="28" t="s">
        <v>55</v>
      </c>
      <c r="J43" s="28" t="s">
        <v>55</v>
      </c>
      <c r="K43" s="28" t="s">
        <v>56</v>
      </c>
      <c r="L43" s="28" t="s">
        <v>56</v>
      </c>
      <c r="M43" s="28" t="s">
        <v>56</v>
      </c>
      <c r="N43" s="28" t="s">
        <v>55</v>
      </c>
      <c r="O43" s="29">
        <v>0.32273299748110829</v>
      </c>
      <c r="P43" s="30">
        <v>9528</v>
      </c>
      <c r="Q43" s="30">
        <v>3075</v>
      </c>
      <c r="R43" s="3"/>
      <c r="T43" s="3"/>
    </row>
    <row r="44" spans="1:21" ht="15" customHeight="1" x14ac:dyDescent="0.4">
      <c r="A44" s="28" t="s">
        <v>56</v>
      </c>
      <c r="B44" s="28" t="s">
        <v>55</v>
      </c>
      <c r="C44" s="28" t="s">
        <v>56</v>
      </c>
      <c r="D44" s="28" t="s">
        <v>56</v>
      </c>
      <c r="E44" s="28" t="s">
        <v>55</v>
      </c>
      <c r="F44" s="28" t="s">
        <v>55</v>
      </c>
      <c r="G44" s="28" t="s">
        <v>56</v>
      </c>
      <c r="H44" s="28" t="s">
        <v>56</v>
      </c>
      <c r="I44" s="28" t="s">
        <v>55</v>
      </c>
      <c r="J44" s="28" t="s">
        <v>55</v>
      </c>
      <c r="K44" s="28" t="s">
        <v>56</v>
      </c>
      <c r="L44" s="28" t="s">
        <v>56</v>
      </c>
      <c r="M44" s="28" t="s">
        <v>55</v>
      </c>
      <c r="N44" s="28" t="s">
        <v>56</v>
      </c>
      <c r="O44" s="29">
        <v>0.25313309421123548</v>
      </c>
      <c r="P44" s="30">
        <v>162539</v>
      </c>
      <c r="Q44" s="30">
        <v>41144</v>
      </c>
      <c r="T44" s="3"/>
    </row>
    <row r="45" spans="1:21" ht="15" customHeight="1" x14ac:dyDescent="0.4">
      <c r="A45" s="28" t="s">
        <v>56</v>
      </c>
      <c r="B45" s="28" t="s">
        <v>55</v>
      </c>
      <c r="C45" s="28" t="s">
        <v>56</v>
      </c>
      <c r="D45" s="28" t="s">
        <v>56</v>
      </c>
      <c r="E45" s="28" t="s">
        <v>55</v>
      </c>
      <c r="F45" s="28" t="s">
        <v>55</v>
      </c>
      <c r="G45" s="28" t="s">
        <v>56</v>
      </c>
      <c r="H45" s="28" t="s">
        <v>56</v>
      </c>
      <c r="I45" s="28" t="s">
        <v>55</v>
      </c>
      <c r="J45" s="28" t="s">
        <v>55</v>
      </c>
      <c r="K45" s="28" t="s">
        <v>56</v>
      </c>
      <c r="L45" s="28" t="s">
        <v>56</v>
      </c>
      <c r="M45" s="28" t="s">
        <v>56</v>
      </c>
      <c r="N45" s="28" t="s">
        <v>55</v>
      </c>
      <c r="O45" s="29">
        <v>0.22705538156181934</v>
      </c>
      <c r="P45" s="30">
        <v>155178</v>
      </c>
      <c r="Q45" s="30">
        <v>35234</v>
      </c>
      <c r="R45" s="3"/>
      <c r="T45" s="3"/>
    </row>
    <row r="46" spans="1:21" ht="15" customHeight="1" x14ac:dyDescent="0.4">
      <c r="A46" s="28" t="s">
        <v>56</v>
      </c>
      <c r="B46" s="28" t="s">
        <v>56</v>
      </c>
      <c r="C46" s="28" t="s">
        <v>55</v>
      </c>
      <c r="D46" s="28" t="s">
        <v>55</v>
      </c>
      <c r="E46" s="28" t="s">
        <v>56</v>
      </c>
      <c r="F46" s="28" t="s">
        <v>55</v>
      </c>
      <c r="G46" s="28" t="s">
        <v>56</v>
      </c>
      <c r="H46" s="28" t="s">
        <v>56</v>
      </c>
      <c r="I46" s="28" t="s">
        <v>55</v>
      </c>
      <c r="J46" s="28" t="s">
        <v>55</v>
      </c>
      <c r="K46" s="28" t="s">
        <v>56</v>
      </c>
      <c r="L46" s="28" t="s">
        <v>56</v>
      </c>
      <c r="M46" s="28" t="s">
        <v>55</v>
      </c>
      <c r="N46" s="28" t="s">
        <v>56</v>
      </c>
      <c r="O46" s="29">
        <v>0.38439306358381503</v>
      </c>
      <c r="P46" s="30">
        <v>2076</v>
      </c>
      <c r="Q46" s="30">
        <v>798</v>
      </c>
      <c r="R46" s="3"/>
      <c r="T46" s="3"/>
    </row>
    <row r="47" spans="1:21" ht="15" customHeight="1" x14ac:dyDescent="0.4">
      <c r="A47" s="28" t="s">
        <v>56</v>
      </c>
      <c r="B47" s="28" t="s">
        <v>56</v>
      </c>
      <c r="C47" s="28" t="s">
        <v>55</v>
      </c>
      <c r="D47" s="28" t="s">
        <v>55</v>
      </c>
      <c r="E47" s="28" t="s">
        <v>56</v>
      </c>
      <c r="F47" s="28" t="s">
        <v>55</v>
      </c>
      <c r="G47" s="28" t="s">
        <v>56</v>
      </c>
      <c r="H47" s="28" t="s">
        <v>56</v>
      </c>
      <c r="I47" s="28" t="s">
        <v>55</v>
      </c>
      <c r="J47" s="28" t="s">
        <v>55</v>
      </c>
      <c r="K47" s="28" t="s">
        <v>56</v>
      </c>
      <c r="L47" s="28" t="s">
        <v>56</v>
      </c>
      <c r="M47" s="28" t="s">
        <v>56</v>
      </c>
      <c r="N47" s="28" t="s">
        <v>55</v>
      </c>
      <c r="O47" s="29">
        <v>0.30642464771913064</v>
      </c>
      <c r="P47" s="30">
        <v>4187</v>
      </c>
      <c r="Q47" s="30">
        <v>1283</v>
      </c>
      <c r="T47" s="3"/>
      <c r="U47" s="3"/>
    </row>
    <row r="48" spans="1:21" ht="15" customHeight="1" x14ac:dyDescent="0.4">
      <c r="A48" s="28" t="s">
        <v>56</v>
      </c>
      <c r="B48" s="28" t="s">
        <v>56</v>
      </c>
      <c r="C48" s="28" t="s">
        <v>55</v>
      </c>
      <c r="D48" s="28" t="s">
        <v>56</v>
      </c>
      <c r="E48" s="28" t="s">
        <v>55</v>
      </c>
      <c r="F48" s="28" t="s">
        <v>55</v>
      </c>
      <c r="G48" s="28" t="s">
        <v>56</v>
      </c>
      <c r="H48" s="28" t="s">
        <v>56</v>
      </c>
      <c r="I48" s="28" t="s">
        <v>55</v>
      </c>
      <c r="J48" s="28" t="s">
        <v>55</v>
      </c>
      <c r="K48" s="28" t="s">
        <v>56</v>
      </c>
      <c r="L48" s="28" t="s">
        <v>56</v>
      </c>
      <c r="M48" s="28" t="s">
        <v>55</v>
      </c>
      <c r="N48" s="28" t="s">
        <v>56</v>
      </c>
      <c r="O48" s="29">
        <v>0.27894293091637246</v>
      </c>
      <c r="P48" s="30">
        <v>37954</v>
      </c>
      <c r="Q48" s="30">
        <v>10587</v>
      </c>
      <c r="R48" s="3"/>
    </row>
    <row r="49" spans="1:21" ht="15" customHeight="1" x14ac:dyDescent="0.4">
      <c r="A49" s="28" t="s">
        <v>56</v>
      </c>
      <c r="B49" s="28" t="s">
        <v>56</v>
      </c>
      <c r="C49" s="28" t="s">
        <v>55</v>
      </c>
      <c r="D49" s="28" t="s">
        <v>56</v>
      </c>
      <c r="E49" s="28" t="s">
        <v>55</v>
      </c>
      <c r="F49" s="28" t="s">
        <v>55</v>
      </c>
      <c r="G49" s="28" t="s">
        <v>56</v>
      </c>
      <c r="H49" s="28" t="s">
        <v>56</v>
      </c>
      <c r="I49" s="28" t="s">
        <v>55</v>
      </c>
      <c r="J49" s="28" t="s">
        <v>55</v>
      </c>
      <c r="K49" s="28" t="s">
        <v>56</v>
      </c>
      <c r="L49" s="28" t="s">
        <v>56</v>
      </c>
      <c r="M49" s="28" t="s">
        <v>56</v>
      </c>
      <c r="N49" s="28" t="s">
        <v>55</v>
      </c>
      <c r="O49" s="29">
        <v>0.23154459453876977</v>
      </c>
      <c r="P49" s="30">
        <v>72621</v>
      </c>
      <c r="Q49" s="30">
        <v>16815</v>
      </c>
      <c r="R49" s="3"/>
      <c r="T49" s="3"/>
    </row>
    <row r="50" spans="1:21" ht="15" customHeight="1" x14ac:dyDescent="0.4">
      <c r="A50" s="28" t="s">
        <v>55</v>
      </c>
      <c r="B50" s="28" t="s">
        <v>56</v>
      </c>
      <c r="C50" s="28" t="s">
        <v>56</v>
      </c>
      <c r="D50" s="28" t="s">
        <v>55</v>
      </c>
      <c r="E50" s="28" t="s">
        <v>56</v>
      </c>
      <c r="F50" s="28" t="s">
        <v>56</v>
      </c>
      <c r="G50" s="28" t="s">
        <v>55</v>
      </c>
      <c r="H50" s="28" t="s">
        <v>56</v>
      </c>
      <c r="I50" s="28" t="s">
        <v>55</v>
      </c>
      <c r="J50" s="28" t="s">
        <v>55</v>
      </c>
      <c r="K50" s="28" t="s">
        <v>56</v>
      </c>
      <c r="L50" s="28" t="s">
        <v>56</v>
      </c>
      <c r="M50" s="28" t="s">
        <v>55</v>
      </c>
      <c r="N50" s="28" t="s">
        <v>56</v>
      </c>
      <c r="O50" s="29">
        <v>0.57534246575342463</v>
      </c>
      <c r="P50" s="30">
        <v>365</v>
      </c>
      <c r="Q50" s="30">
        <v>210</v>
      </c>
      <c r="R50" s="3"/>
      <c r="T50" s="3"/>
    </row>
    <row r="51" spans="1:21" ht="15" customHeight="1" x14ac:dyDescent="0.4">
      <c r="A51" s="28" t="s">
        <v>55</v>
      </c>
      <c r="B51" s="28" t="s">
        <v>56</v>
      </c>
      <c r="C51" s="28" t="s">
        <v>56</v>
      </c>
      <c r="D51" s="28" t="s">
        <v>55</v>
      </c>
      <c r="E51" s="28" t="s">
        <v>56</v>
      </c>
      <c r="F51" s="28" t="s">
        <v>56</v>
      </c>
      <c r="G51" s="28" t="s">
        <v>55</v>
      </c>
      <c r="H51" s="28" t="s">
        <v>56</v>
      </c>
      <c r="I51" s="28" t="s">
        <v>55</v>
      </c>
      <c r="J51" s="28" t="s">
        <v>55</v>
      </c>
      <c r="K51" s="28" t="s">
        <v>56</v>
      </c>
      <c r="L51" s="28" t="s">
        <v>56</v>
      </c>
      <c r="M51" s="28" t="s">
        <v>56</v>
      </c>
      <c r="N51" s="28" t="s">
        <v>55</v>
      </c>
      <c r="O51" s="29">
        <v>0.4375</v>
      </c>
      <c r="P51" s="30">
        <v>32</v>
      </c>
      <c r="Q51" s="30">
        <v>14</v>
      </c>
      <c r="R51" s="3"/>
      <c r="T51" s="3"/>
    </row>
    <row r="52" spans="1:21" ht="15" customHeight="1" x14ac:dyDescent="0.4">
      <c r="A52" s="28" t="s">
        <v>55</v>
      </c>
      <c r="B52" s="28" t="s">
        <v>56</v>
      </c>
      <c r="C52" s="28" t="s">
        <v>56</v>
      </c>
      <c r="D52" s="28" t="s">
        <v>56</v>
      </c>
      <c r="E52" s="28" t="s">
        <v>55</v>
      </c>
      <c r="F52" s="28" t="s">
        <v>56</v>
      </c>
      <c r="G52" s="28" t="s">
        <v>55</v>
      </c>
      <c r="H52" s="28" t="s">
        <v>56</v>
      </c>
      <c r="I52" s="28" t="s">
        <v>55</v>
      </c>
      <c r="J52" s="28" t="s">
        <v>55</v>
      </c>
      <c r="K52" s="28" t="s">
        <v>56</v>
      </c>
      <c r="L52" s="28" t="s">
        <v>56</v>
      </c>
      <c r="M52" s="28" t="s">
        <v>55</v>
      </c>
      <c r="N52" s="28" t="s">
        <v>56</v>
      </c>
      <c r="O52" s="29">
        <v>0.31183398766124509</v>
      </c>
      <c r="P52" s="30">
        <v>1783</v>
      </c>
      <c r="Q52" s="30">
        <v>556</v>
      </c>
      <c r="R52" s="3"/>
      <c r="T52" s="3"/>
    </row>
    <row r="53" spans="1:21" ht="15" customHeight="1" x14ac:dyDescent="0.4">
      <c r="A53" s="28" t="s">
        <v>55</v>
      </c>
      <c r="B53" s="28" t="s">
        <v>56</v>
      </c>
      <c r="C53" s="28" t="s">
        <v>56</v>
      </c>
      <c r="D53" s="28" t="s">
        <v>56</v>
      </c>
      <c r="E53" s="28" t="s">
        <v>55</v>
      </c>
      <c r="F53" s="28" t="s">
        <v>56</v>
      </c>
      <c r="G53" s="28" t="s">
        <v>55</v>
      </c>
      <c r="H53" s="28" t="s">
        <v>56</v>
      </c>
      <c r="I53" s="28" t="s">
        <v>55</v>
      </c>
      <c r="J53" s="28" t="s">
        <v>55</v>
      </c>
      <c r="K53" s="28" t="s">
        <v>56</v>
      </c>
      <c r="L53" s="28" t="s">
        <v>56</v>
      </c>
      <c r="M53" s="28" t="s">
        <v>56</v>
      </c>
      <c r="N53" s="28" t="s">
        <v>55</v>
      </c>
      <c r="O53" s="29">
        <v>0.26190476190476192</v>
      </c>
      <c r="P53" s="30">
        <v>168</v>
      </c>
      <c r="Q53" s="30">
        <v>44</v>
      </c>
      <c r="R53" s="3"/>
      <c r="T53" s="3"/>
    </row>
    <row r="54" spans="1:21" ht="15" customHeight="1" x14ac:dyDescent="0.4">
      <c r="A54" s="28" t="s">
        <v>56</v>
      </c>
      <c r="B54" s="28" t="s">
        <v>55</v>
      </c>
      <c r="C54" s="28" t="s">
        <v>56</v>
      </c>
      <c r="D54" s="28" t="s">
        <v>55</v>
      </c>
      <c r="E54" s="28" t="s">
        <v>56</v>
      </c>
      <c r="F54" s="28" t="s">
        <v>56</v>
      </c>
      <c r="G54" s="28" t="s">
        <v>55</v>
      </c>
      <c r="H54" s="28" t="s">
        <v>56</v>
      </c>
      <c r="I54" s="28" t="s">
        <v>55</v>
      </c>
      <c r="J54" s="28" t="s">
        <v>55</v>
      </c>
      <c r="K54" s="28" t="s">
        <v>56</v>
      </c>
      <c r="L54" s="28" t="s">
        <v>56</v>
      </c>
      <c r="M54" s="28" t="s">
        <v>55</v>
      </c>
      <c r="N54" s="28" t="s">
        <v>56</v>
      </c>
      <c r="O54" s="29">
        <v>0.46798618490967059</v>
      </c>
      <c r="P54" s="31">
        <v>7528</v>
      </c>
      <c r="Q54" s="31">
        <v>3523</v>
      </c>
      <c r="R54" s="3"/>
      <c r="T54" s="3"/>
      <c r="U54" s="3"/>
    </row>
    <row r="55" spans="1:21" ht="15" customHeight="1" x14ac:dyDescent="0.4">
      <c r="A55" s="28" t="s">
        <v>56</v>
      </c>
      <c r="B55" s="28" t="s">
        <v>55</v>
      </c>
      <c r="C55" s="28" t="s">
        <v>56</v>
      </c>
      <c r="D55" s="28" t="s">
        <v>55</v>
      </c>
      <c r="E55" s="28" t="s">
        <v>56</v>
      </c>
      <c r="F55" s="28" t="s">
        <v>56</v>
      </c>
      <c r="G55" s="28" t="s">
        <v>55</v>
      </c>
      <c r="H55" s="28" t="s">
        <v>56</v>
      </c>
      <c r="I55" s="28" t="s">
        <v>55</v>
      </c>
      <c r="J55" s="28" t="s">
        <v>55</v>
      </c>
      <c r="K55" s="28" t="s">
        <v>56</v>
      </c>
      <c r="L55" s="28" t="s">
        <v>56</v>
      </c>
      <c r="M55" s="28" t="s">
        <v>56</v>
      </c>
      <c r="N55" s="28" t="s">
        <v>55</v>
      </c>
      <c r="O55" s="29">
        <v>0.42051931602279924</v>
      </c>
      <c r="P55" s="31">
        <v>1579</v>
      </c>
      <c r="Q55" s="31">
        <v>664</v>
      </c>
      <c r="R55" s="3"/>
    </row>
    <row r="56" spans="1:21" ht="15" customHeight="1" x14ac:dyDescent="0.4">
      <c r="A56" s="28" t="s">
        <v>56</v>
      </c>
      <c r="B56" s="28" t="s">
        <v>55</v>
      </c>
      <c r="C56" s="28" t="s">
        <v>56</v>
      </c>
      <c r="D56" s="28" t="s">
        <v>56</v>
      </c>
      <c r="E56" s="28" t="s">
        <v>55</v>
      </c>
      <c r="F56" s="28" t="s">
        <v>56</v>
      </c>
      <c r="G56" s="28" t="s">
        <v>55</v>
      </c>
      <c r="H56" s="28" t="s">
        <v>56</v>
      </c>
      <c r="I56" s="28" t="s">
        <v>55</v>
      </c>
      <c r="J56" s="28" t="s">
        <v>55</v>
      </c>
      <c r="K56" s="28" t="s">
        <v>56</v>
      </c>
      <c r="L56" s="28" t="s">
        <v>56</v>
      </c>
      <c r="M56" s="28" t="s">
        <v>55</v>
      </c>
      <c r="N56" s="28" t="s">
        <v>56</v>
      </c>
      <c r="O56" s="29">
        <v>0.29176370218358738</v>
      </c>
      <c r="P56" s="31">
        <v>86738</v>
      </c>
      <c r="Q56" s="31">
        <v>25307</v>
      </c>
      <c r="R56" s="3"/>
    </row>
    <row r="57" spans="1:21" ht="15" customHeight="1" x14ac:dyDescent="0.4">
      <c r="A57" s="28" t="s">
        <v>56</v>
      </c>
      <c r="B57" s="28" t="s">
        <v>55</v>
      </c>
      <c r="C57" s="28" t="s">
        <v>56</v>
      </c>
      <c r="D57" s="28" t="s">
        <v>56</v>
      </c>
      <c r="E57" s="28" t="s">
        <v>55</v>
      </c>
      <c r="F57" s="28" t="s">
        <v>56</v>
      </c>
      <c r="G57" s="28" t="s">
        <v>55</v>
      </c>
      <c r="H57" s="28" t="s">
        <v>56</v>
      </c>
      <c r="I57" s="28" t="s">
        <v>55</v>
      </c>
      <c r="J57" s="28" t="s">
        <v>55</v>
      </c>
      <c r="K57" s="28" t="s">
        <v>56</v>
      </c>
      <c r="L57" s="28" t="s">
        <v>56</v>
      </c>
      <c r="M57" s="28" t="s">
        <v>56</v>
      </c>
      <c r="N57" s="28" t="s">
        <v>55</v>
      </c>
      <c r="O57" s="29">
        <v>0.27297495999654026</v>
      </c>
      <c r="P57" s="31">
        <v>23123</v>
      </c>
      <c r="Q57" s="31">
        <v>6312</v>
      </c>
      <c r="R57" s="3"/>
    </row>
    <row r="58" spans="1:21" ht="15" customHeight="1" x14ac:dyDescent="0.4">
      <c r="A58" s="28" t="s">
        <v>56</v>
      </c>
      <c r="B58" s="28" t="s">
        <v>56</v>
      </c>
      <c r="C58" s="28" t="s">
        <v>55</v>
      </c>
      <c r="D58" s="28" t="s">
        <v>55</v>
      </c>
      <c r="E58" s="28" t="s">
        <v>56</v>
      </c>
      <c r="F58" s="28" t="s">
        <v>56</v>
      </c>
      <c r="G58" s="28" t="s">
        <v>55</v>
      </c>
      <c r="H58" s="28" t="s">
        <v>56</v>
      </c>
      <c r="I58" s="28" t="s">
        <v>55</v>
      </c>
      <c r="J58" s="28" t="s">
        <v>55</v>
      </c>
      <c r="K58" s="28" t="s">
        <v>56</v>
      </c>
      <c r="L58" s="28" t="s">
        <v>56</v>
      </c>
      <c r="M58" s="28" t="s">
        <v>55</v>
      </c>
      <c r="N58" s="28" t="s">
        <v>56</v>
      </c>
      <c r="O58" s="29">
        <v>0.46041856232939038</v>
      </c>
      <c r="P58" s="31">
        <v>1099</v>
      </c>
      <c r="Q58" s="31">
        <v>506</v>
      </c>
      <c r="R58" s="3"/>
    </row>
    <row r="59" spans="1:21" ht="15" customHeight="1" x14ac:dyDescent="0.4">
      <c r="A59" s="28" t="s">
        <v>56</v>
      </c>
      <c r="B59" s="28" t="s">
        <v>56</v>
      </c>
      <c r="C59" s="28" t="s">
        <v>55</v>
      </c>
      <c r="D59" s="28" t="s">
        <v>55</v>
      </c>
      <c r="E59" s="28" t="s">
        <v>56</v>
      </c>
      <c r="F59" s="28" t="s">
        <v>56</v>
      </c>
      <c r="G59" s="28" t="s">
        <v>55</v>
      </c>
      <c r="H59" s="28" t="s">
        <v>56</v>
      </c>
      <c r="I59" s="28" t="s">
        <v>55</v>
      </c>
      <c r="J59" s="28" t="s">
        <v>55</v>
      </c>
      <c r="K59" s="28" t="s">
        <v>56</v>
      </c>
      <c r="L59" s="28" t="s">
        <v>56</v>
      </c>
      <c r="M59" s="28" t="s">
        <v>56</v>
      </c>
      <c r="N59" s="28" t="s">
        <v>55</v>
      </c>
      <c r="O59" s="29">
        <v>0.39087947882736157</v>
      </c>
      <c r="P59" s="31">
        <v>614</v>
      </c>
      <c r="Q59" s="31">
        <v>240</v>
      </c>
      <c r="R59" s="3"/>
    </row>
    <row r="60" spans="1:21" ht="15" customHeight="1" x14ac:dyDescent="0.4">
      <c r="A60" s="28" t="s">
        <v>56</v>
      </c>
      <c r="B60" s="28" t="s">
        <v>56</v>
      </c>
      <c r="C60" s="28" t="s">
        <v>55</v>
      </c>
      <c r="D60" s="28" t="s">
        <v>56</v>
      </c>
      <c r="E60" s="28" t="s">
        <v>55</v>
      </c>
      <c r="F60" s="28" t="s">
        <v>56</v>
      </c>
      <c r="G60" s="28" t="s">
        <v>55</v>
      </c>
      <c r="H60" s="28" t="s">
        <v>56</v>
      </c>
      <c r="I60" s="28" t="s">
        <v>55</v>
      </c>
      <c r="J60" s="28" t="s">
        <v>55</v>
      </c>
      <c r="K60" s="28" t="s">
        <v>56</v>
      </c>
      <c r="L60" s="28" t="s">
        <v>56</v>
      </c>
      <c r="M60" s="28" t="s">
        <v>55</v>
      </c>
      <c r="N60" s="28" t="s">
        <v>56</v>
      </c>
      <c r="O60" s="29">
        <v>0.32079972736567081</v>
      </c>
      <c r="P60" s="31">
        <v>17606</v>
      </c>
      <c r="Q60" s="31">
        <v>5648</v>
      </c>
    </row>
    <row r="61" spans="1:21" ht="15" customHeight="1" x14ac:dyDescent="0.4">
      <c r="A61" s="28" t="s">
        <v>56</v>
      </c>
      <c r="B61" s="28" t="s">
        <v>56</v>
      </c>
      <c r="C61" s="28" t="s">
        <v>55</v>
      </c>
      <c r="D61" s="28" t="s">
        <v>56</v>
      </c>
      <c r="E61" s="28" t="s">
        <v>55</v>
      </c>
      <c r="F61" s="28" t="s">
        <v>56</v>
      </c>
      <c r="G61" s="28" t="s">
        <v>55</v>
      </c>
      <c r="H61" s="28" t="s">
        <v>56</v>
      </c>
      <c r="I61" s="28" t="s">
        <v>55</v>
      </c>
      <c r="J61" s="28" t="s">
        <v>55</v>
      </c>
      <c r="K61" s="28" t="s">
        <v>56</v>
      </c>
      <c r="L61" s="28" t="s">
        <v>56</v>
      </c>
      <c r="M61" s="28" t="s">
        <v>56</v>
      </c>
      <c r="N61" s="28" t="s">
        <v>55</v>
      </c>
      <c r="O61" s="29">
        <v>0.29924210876988422</v>
      </c>
      <c r="P61" s="31">
        <v>12007</v>
      </c>
      <c r="Q61" s="31">
        <v>3593</v>
      </c>
      <c r="R61" s="3"/>
    </row>
    <row r="62" spans="1:21" ht="15" customHeight="1" x14ac:dyDescent="0.4">
      <c r="A62" s="28" t="s">
        <v>55</v>
      </c>
      <c r="B62" s="28" t="s">
        <v>56</v>
      </c>
      <c r="C62" s="28" t="s">
        <v>56</v>
      </c>
      <c r="D62" s="28" t="s">
        <v>55</v>
      </c>
      <c r="E62" s="28" t="s">
        <v>56</v>
      </c>
      <c r="F62" s="28" t="s">
        <v>56</v>
      </c>
      <c r="G62" s="28" t="s">
        <v>56</v>
      </c>
      <c r="H62" s="28" t="s">
        <v>55</v>
      </c>
      <c r="I62" s="28" t="s">
        <v>55</v>
      </c>
      <c r="J62" s="28" t="s">
        <v>55</v>
      </c>
      <c r="K62" s="28" t="s">
        <v>56</v>
      </c>
      <c r="L62" s="28" t="s">
        <v>56</v>
      </c>
      <c r="M62" s="28" t="s">
        <v>55</v>
      </c>
      <c r="N62" s="28" t="s">
        <v>56</v>
      </c>
      <c r="O62" s="29">
        <v>0.5</v>
      </c>
      <c r="P62" s="31" t="s">
        <v>57</v>
      </c>
      <c r="Q62" s="31">
        <v>14</v>
      </c>
      <c r="R62" s="3"/>
    </row>
    <row r="63" spans="1:21" ht="15" customHeight="1" x14ac:dyDescent="0.4">
      <c r="A63" s="28" t="s">
        <v>55</v>
      </c>
      <c r="B63" s="28" t="s">
        <v>56</v>
      </c>
      <c r="C63" s="28" t="s">
        <v>56</v>
      </c>
      <c r="D63" s="28" t="s">
        <v>55</v>
      </c>
      <c r="E63" s="28" t="s">
        <v>56</v>
      </c>
      <c r="F63" s="28" t="s">
        <v>56</v>
      </c>
      <c r="G63" s="28" t="s">
        <v>56</v>
      </c>
      <c r="H63" s="28" t="s">
        <v>55</v>
      </c>
      <c r="I63" s="28" t="s">
        <v>55</v>
      </c>
      <c r="J63" s="28" t="s">
        <v>55</v>
      </c>
      <c r="K63" s="28" t="s">
        <v>56</v>
      </c>
      <c r="L63" s="28" t="s">
        <v>56</v>
      </c>
      <c r="M63" s="28" t="s">
        <v>56</v>
      </c>
      <c r="N63" s="28" t="s">
        <v>55</v>
      </c>
      <c r="O63" s="29">
        <v>0.5</v>
      </c>
      <c r="P63" s="31" t="s">
        <v>57</v>
      </c>
      <c r="Q63" s="31" t="s">
        <v>57</v>
      </c>
      <c r="R63" s="3"/>
    </row>
    <row r="64" spans="1:21" ht="15" customHeight="1" x14ac:dyDescent="0.4">
      <c r="A64" s="28" t="s">
        <v>55</v>
      </c>
      <c r="B64" s="28" t="s">
        <v>56</v>
      </c>
      <c r="C64" s="28" t="s">
        <v>56</v>
      </c>
      <c r="D64" s="28" t="s">
        <v>56</v>
      </c>
      <c r="E64" s="28" t="s">
        <v>55</v>
      </c>
      <c r="F64" s="28" t="s">
        <v>56</v>
      </c>
      <c r="G64" s="28" t="s">
        <v>56</v>
      </c>
      <c r="H64" s="28" t="s">
        <v>55</v>
      </c>
      <c r="I64" s="28" t="s">
        <v>55</v>
      </c>
      <c r="J64" s="28" t="s">
        <v>55</v>
      </c>
      <c r="K64" s="28" t="s">
        <v>56</v>
      </c>
      <c r="L64" s="28" t="s">
        <v>56</v>
      </c>
      <c r="M64" s="28" t="s">
        <v>55</v>
      </c>
      <c r="N64" s="28" t="s">
        <v>56</v>
      </c>
      <c r="O64" s="29">
        <v>0.35294117647058826</v>
      </c>
      <c r="P64" s="31">
        <v>85</v>
      </c>
      <c r="Q64" s="31">
        <v>30</v>
      </c>
    </row>
    <row r="65" spans="1:18" ht="15" customHeight="1" x14ac:dyDescent="0.4">
      <c r="A65" s="28" t="s">
        <v>55</v>
      </c>
      <c r="B65" s="28" t="s">
        <v>56</v>
      </c>
      <c r="C65" s="28" t="s">
        <v>56</v>
      </c>
      <c r="D65" s="28" t="s">
        <v>56</v>
      </c>
      <c r="E65" s="28" t="s">
        <v>55</v>
      </c>
      <c r="F65" s="28" t="s">
        <v>56</v>
      </c>
      <c r="G65" s="28" t="s">
        <v>56</v>
      </c>
      <c r="H65" s="28" t="s">
        <v>55</v>
      </c>
      <c r="I65" s="28" t="s">
        <v>55</v>
      </c>
      <c r="J65" s="28" t="s">
        <v>55</v>
      </c>
      <c r="K65" s="28" t="s">
        <v>56</v>
      </c>
      <c r="L65" s="28" t="s">
        <v>56</v>
      </c>
      <c r="M65" s="28" t="s">
        <v>56</v>
      </c>
      <c r="N65" s="28" t="s">
        <v>55</v>
      </c>
      <c r="O65" s="29">
        <v>0.35289999999999999</v>
      </c>
      <c r="P65" s="31" t="s">
        <v>57</v>
      </c>
      <c r="Q65" s="31" t="s">
        <v>57</v>
      </c>
      <c r="R65" s="3"/>
    </row>
    <row r="66" spans="1:18" ht="15" customHeight="1" x14ac:dyDescent="0.4">
      <c r="A66" s="28" t="s">
        <v>56</v>
      </c>
      <c r="B66" s="28" t="s">
        <v>55</v>
      </c>
      <c r="C66" s="28" t="s">
        <v>56</v>
      </c>
      <c r="D66" s="28" t="s">
        <v>55</v>
      </c>
      <c r="E66" s="28" t="s">
        <v>56</v>
      </c>
      <c r="F66" s="28" t="s">
        <v>56</v>
      </c>
      <c r="G66" s="28" t="s">
        <v>56</v>
      </c>
      <c r="H66" s="28" t="s">
        <v>55</v>
      </c>
      <c r="I66" s="28" t="s">
        <v>55</v>
      </c>
      <c r="J66" s="28" t="s">
        <v>55</v>
      </c>
      <c r="K66" s="28" t="s">
        <v>56</v>
      </c>
      <c r="L66" s="28" t="s">
        <v>56</v>
      </c>
      <c r="M66" s="28" t="s">
        <v>55</v>
      </c>
      <c r="N66" s="28" t="s">
        <v>56</v>
      </c>
      <c r="O66" s="29">
        <v>0.39795918367346939</v>
      </c>
      <c r="P66" s="31">
        <v>392</v>
      </c>
      <c r="Q66" s="31">
        <v>156</v>
      </c>
      <c r="R66" s="3"/>
    </row>
    <row r="67" spans="1:18" ht="15" customHeight="1" x14ac:dyDescent="0.4">
      <c r="A67" s="28" t="s">
        <v>56</v>
      </c>
      <c r="B67" s="28" t="s">
        <v>55</v>
      </c>
      <c r="C67" s="28" t="s">
        <v>56</v>
      </c>
      <c r="D67" s="28" t="s">
        <v>55</v>
      </c>
      <c r="E67" s="28" t="s">
        <v>56</v>
      </c>
      <c r="F67" s="28" t="s">
        <v>56</v>
      </c>
      <c r="G67" s="28" t="s">
        <v>56</v>
      </c>
      <c r="H67" s="28" t="s">
        <v>55</v>
      </c>
      <c r="I67" s="28" t="s">
        <v>55</v>
      </c>
      <c r="J67" s="28" t="s">
        <v>55</v>
      </c>
      <c r="K67" s="28" t="s">
        <v>56</v>
      </c>
      <c r="L67" s="28" t="s">
        <v>56</v>
      </c>
      <c r="M67" s="28" t="s">
        <v>56</v>
      </c>
      <c r="N67" s="28" t="s">
        <v>55</v>
      </c>
      <c r="O67" s="29">
        <v>0.30456852791878175</v>
      </c>
      <c r="P67" s="31">
        <v>394</v>
      </c>
      <c r="Q67" s="31">
        <v>120</v>
      </c>
    </row>
    <row r="68" spans="1:18" ht="15" customHeight="1" x14ac:dyDescent="0.4">
      <c r="A68" s="28" t="s">
        <v>56</v>
      </c>
      <c r="B68" s="28" t="s">
        <v>55</v>
      </c>
      <c r="C68" s="28" t="s">
        <v>56</v>
      </c>
      <c r="D68" s="28" t="s">
        <v>56</v>
      </c>
      <c r="E68" s="28" t="s">
        <v>55</v>
      </c>
      <c r="F68" s="28" t="s">
        <v>56</v>
      </c>
      <c r="G68" s="28" t="s">
        <v>56</v>
      </c>
      <c r="H68" s="28" t="s">
        <v>55</v>
      </c>
      <c r="I68" s="28" t="s">
        <v>55</v>
      </c>
      <c r="J68" s="28" t="s">
        <v>55</v>
      </c>
      <c r="K68" s="28" t="s">
        <v>56</v>
      </c>
      <c r="L68" s="28" t="s">
        <v>56</v>
      </c>
      <c r="M68" s="28" t="s">
        <v>55</v>
      </c>
      <c r="N68" s="28" t="s">
        <v>56</v>
      </c>
      <c r="O68" s="29">
        <v>0.23261710930201521</v>
      </c>
      <c r="P68" s="31">
        <v>7493</v>
      </c>
      <c r="Q68" s="31">
        <v>1743</v>
      </c>
      <c r="R68" s="3"/>
    </row>
    <row r="69" spans="1:18" ht="15" customHeight="1" x14ac:dyDescent="0.4">
      <c r="A69" s="28" t="s">
        <v>56</v>
      </c>
      <c r="B69" s="28" t="s">
        <v>55</v>
      </c>
      <c r="C69" s="28" t="s">
        <v>56</v>
      </c>
      <c r="D69" s="28" t="s">
        <v>56</v>
      </c>
      <c r="E69" s="28" t="s">
        <v>55</v>
      </c>
      <c r="F69" s="28" t="s">
        <v>56</v>
      </c>
      <c r="G69" s="28" t="s">
        <v>56</v>
      </c>
      <c r="H69" s="28" t="s">
        <v>55</v>
      </c>
      <c r="I69" s="28" t="s">
        <v>55</v>
      </c>
      <c r="J69" s="28" t="s">
        <v>55</v>
      </c>
      <c r="K69" s="28" t="s">
        <v>56</v>
      </c>
      <c r="L69" s="28" t="s">
        <v>56</v>
      </c>
      <c r="M69" s="28" t="s">
        <v>56</v>
      </c>
      <c r="N69" s="28" t="s">
        <v>55</v>
      </c>
      <c r="O69" s="29">
        <v>0.234619793656859</v>
      </c>
      <c r="P69" s="31">
        <v>10468</v>
      </c>
      <c r="Q69" s="31">
        <v>2456</v>
      </c>
      <c r="R69" s="3"/>
    </row>
    <row r="70" spans="1:18" ht="15" customHeight="1" x14ac:dyDescent="0.4">
      <c r="A70" s="28" t="s">
        <v>56</v>
      </c>
      <c r="B70" s="28" t="s">
        <v>56</v>
      </c>
      <c r="C70" s="28" t="s">
        <v>55</v>
      </c>
      <c r="D70" s="28" t="s">
        <v>55</v>
      </c>
      <c r="E70" s="28" t="s">
        <v>56</v>
      </c>
      <c r="F70" s="28" t="s">
        <v>56</v>
      </c>
      <c r="G70" s="28" t="s">
        <v>56</v>
      </c>
      <c r="H70" s="28" t="s">
        <v>55</v>
      </c>
      <c r="I70" s="28" t="s">
        <v>55</v>
      </c>
      <c r="J70" s="28" t="s">
        <v>55</v>
      </c>
      <c r="K70" s="28" t="s">
        <v>56</v>
      </c>
      <c r="L70" s="28" t="s">
        <v>56</v>
      </c>
      <c r="M70" s="28" t="s">
        <v>55</v>
      </c>
      <c r="N70" s="28" t="s">
        <v>56</v>
      </c>
      <c r="O70" s="29">
        <v>0.3783783783783784</v>
      </c>
      <c r="P70" s="31">
        <v>111</v>
      </c>
      <c r="Q70" s="31">
        <v>42</v>
      </c>
    </row>
    <row r="71" spans="1:18" ht="15" customHeight="1" x14ac:dyDescent="0.4">
      <c r="A71" s="28" t="s">
        <v>56</v>
      </c>
      <c r="B71" s="28" t="s">
        <v>56</v>
      </c>
      <c r="C71" s="28" t="s">
        <v>55</v>
      </c>
      <c r="D71" s="28" t="s">
        <v>55</v>
      </c>
      <c r="E71" s="28" t="s">
        <v>56</v>
      </c>
      <c r="F71" s="28" t="s">
        <v>56</v>
      </c>
      <c r="G71" s="28" t="s">
        <v>56</v>
      </c>
      <c r="H71" s="28" t="s">
        <v>55</v>
      </c>
      <c r="I71" s="28" t="s">
        <v>55</v>
      </c>
      <c r="J71" s="28" t="s">
        <v>55</v>
      </c>
      <c r="K71" s="28" t="s">
        <v>56</v>
      </c>
      <c r="L71" s="28" t="s">
        <v>56</v>
      </c>
      <c r="M71" s="28" t="s">
        <v>56</v>
      </c>
      <c r="N71" s="28" t="s">
        <v>55</v>
      </c>
      <c r="O71" s="29">
        <v>0.32857142857142857</v>
      </c>
      <c r="P71" s="31">
        <v>420</v>
      </c>
      <c r="Q71" s="31">
        <v>138</v>
      </c>
      <c r="R71" s="3"/>
    </row>
    <row r="72" spans="1:18" ht="15" customHeight="1" x14ac:dyDescent="0.4">
      <c r="A72" s="28" t="s">
        <v>56</v>
      </c>
      <c r="B72" s="28" t="s">
        <v>56</v>
      </c>
      <c r="C72" s="28" t="s">
        <v>55</v>
      </c>
      <c r="D72" s="28" t="s">
        <v>56</v>
      </c>
      <c r="E72" s="28" t="s">
        <v>55</v>
      </c>
      <c r="F72" s="28" t="s">
        <v>56</v>
      </c>
      <c r="G72" s="28" t="s">
        <v>56</v>
      </c>
      <c r="H72" s="28" t="s">
        <v>55</v>
      </c>
      <c r="I72" s="28" t="s">
        <v>55</v>
      </c>
      <c r="J72" s="28" t="s">
        <v>55</v>
      </c>
      <c r="K72" s="28" t="s">
        <v>56</v>
      </c>
      <c r="L72" s="28" t="s">
        <v>56</v>
      </c>
      <c r="M72" s="28" t="s">
        <v>55</v>
      </c>
      <c r="N72" s="28" t="s">
        <v>56</v>
      </c>
      <c r="O72" s="29">
        <v>0.26928471248246844</v>
      </c>
      <c r="P72" s="31">
        <v>2852</v>
      </c>
      <c r="Q72" s="31">
        <v>768</v>
      </c>
    </row>
    <row r="73" spans="1:18" ht="15" customHeight="1" x14ac:dyDescent="0.4">
      <c r="A73" s="28" t="s">
        <v>56</v>
      </c>
      <c r="B73" s="28" t="s">
        <v>56</v>
      </c>
      <c r="C73" s="28" t="s">
        <v>55</v>
      </c>
      <c r="D73" s="28" t="s">
        <v>56</v>
      </c>
      <c r="E73" s="28" t="s">
        <v>55</v>
      </c>
      <c r="F73" s="28" t="s">
        <v>56</v>
      </c>
      <c r="G73" s="28" t="s">
        <v>56</v>
      </c>
      <c r="H73" s="28" t="s">
        <v>55</v>
      </c>
      <c r="I73" s="28" t="s">
        <v>55</v>
      </c>
      <c r="J73" s="28" t="s">
        <v>55</v>
      </c>
      <c r="K73" s="28" t="s">
        <v>56</v>
      </c>
      <c r="L73" s="28" t="s">
        <v>56</v>
      </c>
      <c r="M73" s="28" t="s">
        <v>56</v>
      </c>
      <c r="N73" s="28" t="s">
        <v>55</v>
      </c>
      <c r="O73" s="29">
        <v>0.25390085978133958</v>
      </c>
      <c r="P73" s="31">
        <v>9421</v>
      </c>
      <c r="Q73" s="31">
        <v>2392</v>
      </c>
    </row>
    <row r="74" spans="1:18" ht="15" customHeight="1" x14ac:dyDescent="0.4">
      <c r="A74" s="28" t="s">
        <v>55</v>
      </c>
      <c r="B74" s="28" t="s">
        <v>56</v>
      </c>
      <c r="C74" s="28" t="s">
        <v>56</v>
      </c>
      <c r="D74" s="28" t="s">
        <v>55</v>
      </c>
      <c r="E74" s="28" t="s">
        <v>56</v>
      </c>
      <c r="F74" s="28" t="s">
        <v>55</v>
      </c>
      <c r="G74" s="28" t="s">
        <v>56</v>
      </c>
      <c r="H74" s="28" t="s">
        <v>56</v>
      </c>
      <c r="I74" s="28" t="s">
        <v>56</v>
      </c>
      <c r="J74" s="28" t="s">
        <v>56</v>
      </c>
      <c r="K74" s="28" t="s">
        <v>55</v>
      </c>
      <c r="L74" s="28" t="s">
        <v>56</v>
      </c>
      <c r="M74" s="28" t="s">
        <v>55</v>
      </c>
      <c r="N74" s="28" t="s">
        <v>56</v>
      </c>
      <c r="O74" s="29">
        <v>0.80297397769516732</v>
      </c>
      <c r="P74" s="31">
        <v>269</v>
      </c>
      <c r="Q74" s="31">
        <v>216</v>
      </c>
    </row>
    <row r="75" spans="1:18" ht="15" customHeight="1" x14ac:dyDescent="0.4">
      <c r="A75" s="28" t="s">
        <v>55</v>
      </c>
      <c r="B75" s="28" t="s">
        <v>56</v>
      </c>
      <c r="C75" s="28" t="s">
        <v>56</v>
      </c>
      <c r="D75" s="28" t="s">
        <v>55</v>
      </c>
      <c r="E75" s="28" t="s">
        <v>56</v>
      </c>
      <c r="F75" s="28" t="s">
        <v>55</v>
      </c>
      <c r="G75" s="28" t="s">
        <v>56</v>
      </c>
      <c r="H75" s="28" t="s">
        <v>56</v>
      </c>
      <c r="I75" s="28" t="s">
        <v>56</v>
      </c>
      <c r="J75" s="28" t="s">
        <v>56</v>
      </c>
      <c r="K75" s="28" t="s">
        <v>55</v>
      </c>
      <c r="L75" s="28" t="s">
        <v>56</v>
      </c>
      <c r="M75" s="28" t="s">
        <v>56</v>
      </c>
      <c r="N75" s="28" t="s">
        <v>55</v>
      </c>
      <c r="O75" s="29">
        <v>0.80300000000000005</v>
      </c>
      <c r="P75" s="31" t="s">
        <v>57</v>
      </c>
      <c r="Q75" s="31">
        <v>38</v>
      </c>
    </row>
    <row r="76" spans="1:18" ht="15" customHeight="1" x14ac:dyDescent="0.4">
      <c r="A76" s="28" t="s">
        <v>55</v>
      </c>
      <c r="B76" s="28" t="s">
        <v>56</v>
      </c>
      <c r="C76" s="28" t="s">
        <v>56</v>
      </c>
      <c r="D76" s="28" t="s">
        <v>56</v>
      </c>
      <c r="E76" s="28" t="s">
        <v>55</v>
      </c>
      <c r="F76" s="28" t="s">
        <v>55</v>
      </c>
      <c r="G76" s="28" t="s">
        <v>56</v>
      </c>
      <c r="H76" s="28" t="s">
        <v>56</v>
      </c>
      <c r="I76" s="28" t="s">
        <v>56</v>
      </c>
      <c r="J76" s="28" t="s">
        <v>56</v>
      </c>
      <c r="K76" s="28" t="s">
        <v>55</v>
      </c>
      <c r="L76" s="28" t="s">
        <v>56</v>
      </c>
      <c r="M76" s="28" t="s">
        <v>55</v>
      </c>
      <c r="N76" s="28" t="s">
        <v>56</v>
      </c>
      <c r="O76" s="29">
        <v>0.69973190348525471</v>
      </c>
      <c r="P76" s="31">
        <v>3357</v>
      </c>
      <c r="Q76" s="31">
        <v>2349</v>
      </c>
    </row>
    <row r="77" spans="1:18" ht="15" customHeight="1" x14ac:dyDescent="0.4">
      <c r="A77" s="28" t="s">
        <v>55</v>
      </c>
      <c r="B77" s="28" t="s">
        <v>56</v>
      </c>
      <c r="C77" s="28" t="s">
        <v>56</v>
      </c>
      <c r="D77" s="28" t="s">
        <v>56</v>
      </c>
      <c r="E77" s="28" t="s">
        <v>55</v>
      </c>
      <c r="F77" s="28" t="s">
        <v>55</v>
      </c>
      <c r="G77" s="28" t="s">
        <v>56</v>
      </c>
      <c r="H77" s="28" t="s">
        <v>56</v>
      </c>
      <c r="I77" s="28" t="s">
        <v>56</v>
      </c>
      <c r="J77" s="28" t="s">
        <v>56</v>
      </c>
      <c r="K77" s="28" t="s">
        <v>55</v>
      </c>
      <c r="L77" s="28" t="s">
        <v>56</v>
      </c>
      <c r="M77" s="28" t="s">
        <v>56</v>
      </c>
      <c r="N77" s="28" t="s">
        <v>55</v>
      </c>
      <c r="O77" s="29">
        <v>0.7243994943109987</v>
      </c>
      <c r="P77" s="31">
        <v>791</v>
      </c>
      <c r="Q77" s="31">
        <v>573</v>
      </c>
    </row>
    <row r="78" spans="1:18" ht="15" customHeight="1" x14ac:dyDescent="0.4">
      <c r="A78" s="28" t="s">
        <v>56</v>
      </c>
      <c r="B78" s="28" t="s">
        <v>55</v>
      </c>
      <c r="C78" s="28" t="s">
        <v>56</v>
      </c>
      <c r="D78" s="28" t="s">
        <v>55</v>
      </c>
      <c r="E78" s="28" t="s">
        <v>56</v>
      </c>
      <c r="F78" s="28" t="s">
        <v>55</v>
      </c>
      <c r="G78" s="28" t="s">
        <v>56</v>
      </c>
      <c r="H78" s="28" t="s">
        <v>56</v>
      </c>
      <c r="I78" s="28" t="s">
        <v>56</v>
      </c>
      <c r="J78" s="28" t="s">
        <v>56</v>
      </c>
      <c r="K78" s="28" t="s">
        <v>55</v>
      </c>
      <c r="L78" s="28" t="s">
        <v>56</v>
      </c>
      <c r="M78" s="28" t="s">
        <v>55</v>
      </c>
      <c r="N78" s="28" t="s">
        <v>56</v>
      </c>
      <c r="O78" s="29">
        <v>0.68523122824465443</v>
      </c>
      <c r="P78" s="31">
        <v>4022</v>
      </c>
      <c r="Q78" s="31">
        <v>2756</v>
      </c>
    </row>
    <row r="79" spans="1:18" ht="15" customHeight="1" x14ac:dyDescent="0.4">
      <c r="A79" s="28" t="s">
        <v>56</v>
      </c>
      <c r="B79" s="28" t="s">
        <v>55</v>
      </c>
      <c r="C79" s="28" t="s">
        <v>56</v>
      </c>
      <c r="D79" s="28" t="s">
        <v>55</v>
      </c>
      <c r="E79" s="28" t="s">
        <v>56</v>
      </c>
      <c r="F79" s="28" t="s">
        <v>55</v>
      </c>
      <c r="G79" s="28" t="s">
        <v>56</v>
      </c>
      <c r="H79" s="28" t="s">
        <v>56</v>
      </c>
      <c r="I79" s="28" t="s">
        <v>56</v>
      </c>
      <c r="J79" s="28" t="s">
        <v>56</v>
      </c>
      <c r="K79" s="28" t="s">
        <v>55</v>
      </c>
      <c r="L79" s="28" t="s">
        <v>56</v>
      </c>
      <c r="M79" s="28" t="s">
        <v>56</v>
      </c>
      <c r="N79" s="28" t="s">
        <v>55</v>
      </c>
      <c r="O79" s="29">
        <v>0.60791308577914704</v>
      </c>
      <c r="P79" s="31">
        <v>6167</v>
      </c>
      <c r="Q79" s="31">
        <v>3749</v>
      </c>
    </row>
    <row r="80" spans="1:18" ht="15" customHeight="1" x14ac:dyDescent="0.4">
      <c r="A80" s="28" t="s">
        <v>56</v>
      </c>
      <c r="B80" s="28" t="s">
        <v>55</v>
      </c>
      <c r="C80" s="28" t="s">
        <v>56</v>
      </c>
      <c r="D80" s="28" t="s">
        <v>56</v>
      </c>
      <c r="E80" s="28" t="s">
        <v>55</v>
      </c>
      <c r="F80" s="28" t="s">
        <v>55</v>
      </c>
      <c r="G80" s="28" t="s">
        <v>56</v>
      </c>
      <c r="H80" s="28" t="s">
        <v>56</v>
      </c>
      <c r="I80" s="28" t="s">
        <v>56</v>
      </c>
      <c r="J80" s="28" t="s">
        <v>56</v>
      </c>
      <c r="K80" s="28" t="s">
        <v>55</v>
      </c>
      <c r="L80" s="28" t="s">
        <v>56</v>
      </c>
      <c r="M80" s="28" t="s">
        <v>55</v>
      </c>
      <c r="N80" s="28" t="s">
        <v>56</v>
      </c>
      <c r="O80" s="29">
        <v>0.5883758738416518</v>
      </c>
      <c r="P80" s="31">
        <v>61510</v>
      </c>
      <c r="Q80" s="31">
        <v>36191</v>
      </c>
      <c r="R80" s="3"/>
    </row>
    <row r="81" spans="1:18" ht="15" customHeight="1" x14ac:dyDescent="0.4">
      <c r="A81" s="28" t="s">
        <v>56</v>
      </c>
      <c r="B81" s="28" t="s">
        <v>55</v>
      </c>
      <c r="C81" s="28" t="s">
        <v>56</v>
      </c>
      <c r="D81" s="28" t="s">
        <v>56</v>
      </c>
      <c r="E81" s="28" t="s">
        <v>55</v>
      </c>
      <c r="F81" s="28" t="s">
        <v>55</v>
      </c>
      <c r="G81" s="28" t="s">
        <v>56</v>
      </c>
      <c r="H81" s="28" t="s">
        <v>56</v>
      </c>
      <c r="I81" s="28" t="s">
        <v>56</v>
      </c>
      <c r="J81" s="28" t="s">
        <v>56</v>
      </c>
      <c r="K81" s="28" t="s">
        <v>55</v>
      </c>
      <c r="L81" s="28" t="s">
        <v>56</v>
      </c>
      <c r="M81" s="28" t="s">
        <v>56</v>
      </c>
      <c r="N81" s="28" t="s">
        <v>55</v>
      </c>
      <c r="O81" s="29">
        <v>0.56611889758880884</v>
      </c>
      <c r="P81" s="31">
        <v>112517</v>
      </c>
      <c r="Q81" s="31">
        <v>63698</v>
      </c>
      <c r="R81" s="3"/>
    </row>
    <row r="82" spans="1:18" ht="15" customHeight="1" x14ac:dyDescent="0.4">
      <c r="A82" s="28" t="s">
        <v>56</v>
      </c>
      <c r="B82" s="28" t="s">
        <v>56</v>
      </c>
      <c r="C82" s="28" t="s">
        <v>55</v>
      </c>
      <c r="D82" s="28" t="s">
        <v>55</v>
      </c>
      <c r="E82" s="28" t="s">
        <v>56</v>
      </c>
      <c r="F82" s="28" t="s">
        <v>55</v>
      </c>
      <c r="G82" s="28" t="s">
        <v>56</v>
      </c>
      <c r="H82" s="28" t="s">
        <v>56</v>
      </c>
      <c r="I82" s="28" t="s">
        <v>56</v>
      </c>
      <c r="J82" s="28" t="s">
        <v>56</v>
      </c>
      <c r="K82" s="28" t="s">
        <v>55</v>
      </c>
      <c r="L82" s="28" t="s">
        <v>56</v>
      </c>
      <c r="M82" s="28" t="s">
        <v>55</v>
      </c>
      <c r="N82" s="28" t="s">
        <v>56</v>
      </c>
      <c r="O82" s="29">
        <v>0.632996632996633</v>
      </c>
      <c r="P82" s="31">
        <v>594</v>
      </c>
      <c r="Q82" s="31">
        <v>376</v>
      </c>
    </row>
    <row r="83" spans="1:18" ht="15" customHeight="1" x14ac:dyDescent="0.4">
      <c r="A83" s="28" t="s">
        <v>56</v>
      </c>
      <c r="B83" s="28" t="s">
        <v>56</v>
      </c>
      <c r="C83" s="28" t="s">
        <v>55</v>
      </c>
      <c r="D83" s="28" t="s">
        <v>55</v>
      </c>
      <c r="E83" s="28" t="s">
        <v>56</v>
      </c>
      <c r="F83" s="28" t="s">
        <v>55</v>
      </c>
      <c r="G83" s="28" t="s">
        <v>56</v>
      </c>
      <c r="H83" s="28" t="s">
        <v>56</v>
      </c>
      <c r="I83" s="28" t="s">
        <v>56</v>
      </c>
      <c r="J83" s="28" t="s">
        <v>56</v>
      </c>
      <c r="K83" s="28" t="s">
        <v>55</v>
      </c>
      <c r="L83" s="28" t="s">
        <v>56</v>
      </c>
      <c r="M83" s="28" t="s">
        <v>56</v>
      </c>
      <c r="N83" s="28" t="s">
        <v>55</v>
      </c>
      <c r="O83" s="29">
        <v>0.58101529902642557</v>
      </c>
      <c r="P83" s="31">
        <v>2876</v>
      </c>
      <c r="Q83" s="31">
        <v>1671</v>
      </c>
      <c r="R83" s="3"/>
    </row>
    <row r="84" spans="1:18" ht="15" customHeight="1" x14ac:dyDescent="0.4">
      <c r="A84" s="28" t="s">
        <v>56</v>
      </c>
      <c r="B84" s="28" t="s">
        <v>56</v>
      </c>
      <c r="C84" s="28" t="s">
        <v>55</v>
      </c>
      <c r="D84" s="28" t="s">
        <v>56</v>
      </c>
      <c r="E84" s="28" t="s">
        <v>55</v>
      </c>
      <c r="F84" s="28" t="s">
        <v>55</v>
      </c>
      <c r="G84" s="28" t="s">
        <v>56</v>
      </c>
      <c r="H84" s="28" t="s">
        <v>56</v>
      </c>
      <c r="I84" s="28" t="s">
        <v>56</v>
      </c>
      <c r="J84" s="28" t="s">
        <v>56</v>
      </c>
      <c r="K84" s="28" t="s">
        <v>55</v>
      </c>
      <c r="L84" s="28" t="s">
        <v>56</v>
      </c>
      <c r="M84" s="28" t="s">
        <v>55</v>
      </c>
      <c r="N84" s="28" t="s">
        <v>56</v>
      </c>
      <c r="O84" s="29">
        <v>0.57766672128461416</v>
      </c>
      <c r="P84" s="31">
        <v>12206</v>
      </c>
      <c r="Q84" s="31">
        <v>7051</v>
      </c>
    </row>
    <row r="85" spans="1:18" ht="15" customHeight="1" x14ac:dyDescent="0.4">
      <c r="A85" s="28" t="s">
        <v>56</v>
      </c>
      <c r="B85" s="28" t="s">
        <v>56</v>
      </c>
      <c r="C85" s="28" t="s">
        <v>55</v>
      </c>
      <c r="D85" s="28" t="s">
        <v>56</v>
      </c>
      <c r="E85" s="28" t="s">
        <v>55</v>
      </c>
      <c r="F85" s="28" t="s">
        <v>55</v>
      </c>
      <c r="G85" s="28" t="s">
        <v>56</v>
      </c>
      <c r="H85" s="28" t="s">
        <v>56</v>
      </c>
      <c r="I85" s="28" t="s">
        <v>56</v>
      </c>
      <c r="J85" s="28" t="s">
        <v>56</v>
      </c>
      <c r="K85" s="28" t="s">
        <v>55</v>
      </c>
      <c r="L85" s="28" t="s">
        <v>56</v>
      </c>
      <c r="M85" s="28" t="s">
        <v>56</v>
      </c>
      <c r="N85" s="28" t="s">
        <v>55</v>
      </c>
      <c r="O85" s="29">
        <v>0.54395740978580598</v>
      </c>
      <c r="P85" s="31">
        <v>48274</v>
      </c>
      <c r="Q85" s="31">
        <v>26259</v>
      </c>
      <c r="R85" s="3"/>
    </row>
    <row r="86" spans="1:18" ht="15" customHeight="1" x14ac:dyDescent="0.4">
      <c r="A86" s="28" t="s">
        <v>55</v>
      </c>
      <c r="B86" s="28" t="s">
        <v>56</v>
      </c>
      <c r="C86" s="28" t="s">
        <v>56</v>
      </c>
      <c r="D86" s="28" t="s">
        <v>55</v>
      </c>
      <c r="E86" s="28" t="s">
        <v>56</v>
      </c>
      <c r="F86" s="28" t="s">
        <v>56</v>
      </c>
      <c r="G86" s="28" t="s">
        <v>55</v>
      </c>
      <c r="H86" s="28" t="s">
        <v>56</v>
      </c>
      <c r="I86" s="28" t="s">
        <v>56</v>
      </c>
      <c r="J86" s="28" t="s">
        <v>56</v>
      </c>
      <c r="K86" s="28" t="s">
        <v>55</v>
      </c>
      <c r="L86" s="28" t="s">
        <v>56</v>
      </c>
      <c r="M86" s="28" t="s">
        <v>55</v>
      </c>
      <c r="N86" s="28" t="s">
        <v>56</v>
      </c>
      <c r="O86" s="29">
        <v>0.78260869565217395</v>
      </c>
      <c r="P86" s="31">
        <v>138</v>
      </c>
      <c r="Q86" s="31">
        <v>108</v>
      </c>
    </row>
    <row r="87" spans="1:18" ht="15" customHeight="1" x14ac:dyDescent="0.4">
      <c r="A87" s="28" t="s">
        <v>55</v>
      </c>
      <c r="B87" s="28" t="s">
        <v>56</v>
      </c>
      <c r="C87" s="28" t="s">
        <v>56</v>
      </c>
      <c r="D87" s="28" t="s">
        <v>55</v>
      </c>
      <c r="E87" s="28" t="s">
        <v>56</v>
      </c>
      <c r="F87" s="28" t="s">
        <v>56</v>
      </c>
      <c r="G87" s="28" t="s">
        <v>55</v>
      </c>
      <c r="H87" s="28" t="s">
        <v>56</v>
      </c>
      <c r="I87" s="28" t="s">
        <v>56</v>
      </c>
      <c r="J87" s="28" t="s">
        <v>56</v>
      </c>
      <c r="K87" s="28" t="s">
        <v>55</v>
      </c>
      <c r="L87" s="28" t="s">
        <v>56</v>
      </c>
      <c r="M87" s="28" t="s">
        <v>56</v>
      </c>
      <c r="N87" s="28" t="s">
        <v>55</v>
      </c>
      <c r="O87" s="29">
        <v>0.78259999999999996</v>
      </c>
      <c r="P87" s="31" t="s">
        <v>57</v>
      </c>
      <c r="Q87" s="31" t="s">
        <v>57</v>
      </c>
      <c r="R87" s="3"/>
    </row>
    <row r="88" spans="1:18" ht="15" customHeight="1" x14ac:dyDescent="0.4">
      <c r="A88" s="28" t="s">
        <v>55</v>
      </c>
      <c r="B88" s="28" t="s">
        <v>56</v>
      </c>
      <c r="C88" s="28" t="s">
        <v>56</v>
      </c>
      <c r="D88" s="28" t="s">
        <v>56</v>
      </c>
      <c r="E88" s="28" t="s">
        <v>55</v>
      </c>
      <c r="F88" s="28" t="s">
        <v>56</v>
      </c>
      <c r="G88" s="28" t="s">
        <v>55</v>
      </c>
      <c r="H88" s="28" t="s">
        <v>56</v>
      </c>
      <c r="I88" s="28" t="s">
        <v>56</v>
      </c>
      <c r="J88" s="28" t="s">
        <v>56</v>
      </c>
      <c r="K88" s="28" t="s">
        <v>55</v>
      </c>
      <c r="L88" s="28" t="s">
        <v>56</v>
      </c>
      <c r="M88" s="28" t="s">
        <v>55</v>
      </c>
      <c r="N88" s="28" t="s">
        <v>56</v>
      </c>
      <c r="O88" s="29">
        <v>0.69934310257705912</v>
      </c>
      <c r="P88" s="31">
        <v>1979</v>
      </c>
      <c r="Q88" s="31">
        <v>1384</v>
      </c>
      <c r="R88" s="3"/>
    </row>
    <row r="89" spans="1:18" ht="15" customHeight="1" x14ac:dyDescent="0.4">
      <c r="A89" s="28" t="s">
        <v>55</v>
      </c>
      <c r="B89" s="28" t="s">
        <v>56</v>
      </c>
      <c r="C89" s="28" t="s">
        <v>56</v>
      </c>
      <c r="D89" s="28" t="s">
        <v>56</v>
      </c>
      <c r="E89" s="28" t="s">
        <v>55</v>
      </c>
      <c r="F89" s="28" t="s">
        <v>56</v>
      </c>
      <c r="G89" s="28" t="s">
        <v>55</v>
      </c>
      <c r="H89" s="28" t="s">
        <v>56</v>
      </c>
      <c r="I89" s="28" t="s">
        <v>56</v>
      </c>
      <c r="J89" s="28" t="s">
        <v>56</v>
      </c>
      <c r="K89" s="28" t="s">
        <v>55</v>
      </c>
      <c r="L89" s="28" t="s">
        <v>56</v>
      </c>
      <c r="M89" s="28" t="s">
        <v>56</v>
      </c>
      <c r="N89" s="28" t="s">
        <v>55</v>
      </c>
      <c r="O89" s="29">
        <v>0.72666666666666668</v>
      </c>
      <c r="P89" s="31">
        <v>300</v>
      </c>
      <c r="Q89" s="31">
        <v>218</v>
      </c>
      <c r="R89" s="3"/>
    </row>
    <row r="90" spans="1:18" ht="15" customHeight="1" x14ac:dyDescent="0.4">
      <c r="A90" s="28" t="s">
        <v>56</v>
      </c>
      <c r="B90" s="28" t="s">
        <v>55</v>
      </c>
      <c r="C90" s="28" t="s">
        <v>56</v>
      </c>
      <c r="D90" s="28" t="s">
        <v>55</v>
      </c>
      <c r="E90" s="28" t="s">
        <v>56</v>
      </c>
      <c r="F90" s="28" t="s">
        <v>56</v>
      </c>
      <c r="G90" s="28" t="s">
        <v>55</v>
      </c>
      <c r="H90" s="28" t="s">
        <v>56</v>
      </c>
      <c r="I90" s="28" t="s">
        <v>56</v>
      </c>
      <c r="J90" s="28" t="s">
        <v>56</v>
      </c>
      <c r="K90" s="28" t="s">
        <v>55</v>
      </c>
      <c r="L90" s="28" t="s">
        <v>56</v>
      </c>
      <c r="M90" s="28" t="s">
        <v>55</v>
      </c>
      <c r="N90" s="28" t="s">
        <v>56</v>
      </c>
      <c r="O90" s="29">
        <v>0.74699234414874227</v>
      </c>
      <c r="P90" s="31">
        <v>2743</v>
      </c>
      <c r="Q90" s="31">
        <v>2049</v>
      </c>
      <c r="R90" s="3"/>
    </row>
    <row r="91" spans="1:18" ht="15" customHeight="1" x14ac:dyDescent="0.4">
      <c r="A91" s="28" t="s">
        <v>56</v>
      </c>
      <c r="B91" s="28" t="s">
        <v>55</v>
      </c>
      <c r="C91" s="28" t="s">
        <v>56</v>
      </c>
      <c r="D91" s="28" t="s">
        <v>55</v>
      </c>
      <c r="E91" s="28" t="s">
        <v>56</v>
      </c>
      <c r="F91" s="28" t="s">
        <v>56</v>
      </c>
      <c r="G91" s="28" t="s">
        <v>55</v>
      </c>
      <c r="H91" s="28" t="s">
        <v>56</v>
      </c>
      <c r="I91" s="28" t="s">
        <v>56</v>
      </c>
      <c r="J91" s="28" t="s">
        <v>56</v>
      </c>
      <c r="K91" s="28" t="s">
        <v>55</v>
      </c>
      <c r="L91" s="28" t="s">
        <v>56</v>
      </c>
      <c r="M91" s="28" t="s">
        <v>56</v>
      </c>
      <c r="N91" s="28" t="s">
        <v>55</v>
      </c>
      <c r="O91" s="29">
        <v>0.69335142469470823</v>
      </c>
      <c r="P91" s="31">
        <v>737</v>
      </c>
      <c r="Q91" s="31">
        <v>511</v>
      </c>
    </row>
    <row r="92" spans="1:18" ht="15" customHeight="1" x14ac:dyDescent="0.4">
      <c r="A92" s="28" t="s">
        <v>56</v>
      </c>
      <c r="B92" s="28" t="s">
        <v>55</v>
      </c>
      <c r="C92" s="28" t="s">
        <v>56</v>
      </c>
      <c r="D92" s="28" t="s">
        <v>56</v>
      </c>
      <c r="E92" s="28" t="s">
        <v>55</v>
      </c>
      <c r="F92" s="28" t="s">
        <v>56</v>
      </c>
      <c r="G92" s="28" t="s">
        <v>55</v>
      </c>
      <c r="H92" s="28" t="s">
        <v>56</v>
      </c>
      <c r="I92" s="28" t="s">
        <v>56</v>
      </c>
      <c r="J92" s="28" t="s">
        <v>56</v>
      </c>
      <c r="K92" s="28" t="s">
        <v>55</v>
      </c>
      <c r="L92" s="28" t="s">
        <v>56</v>
      </c>
      <c r="M92" s="28" t="s">
        <v>55</v>
      </c>
      <c r="N92" s="28" t="s">
        <v>56</v>
      </c>
      <c r="O92" s="29">
        <v>0.60562776746179114</v>
      </c>
      <c r="P92" s="31">
        <v>35005</v>
      </c>
      <c r="Q92" s="31">
        <v>21200</v>
      </c>
      <c r="R92" s="3"/>
    </row>
    <row r="93" spans="1:18" ht="15" customHeight="1" x14ac:dyDescent="0.4">
      <c r="A93" s="28" t="s">
        <v>56</v>
      </c>
      <c r="B93" s="28" t="s">
        <v>55</v>
      </c>
      <c r="C93" s="28" t="s">
        <v>56</v>
      </c>
      <c r="D93" s="28" t="s">
        <v>56</v>
      </c>
      <c r="E93" s="28" t="s">
        <v>55</v>
      </c>
      <c r="F93" s="28" t="s">
        <v>56</v>
      </c>
      <c r="G93" s="28" t="s">
        <v>55</v>
      </c>
      <c r="H93" s="28" t="s">
        <v>56</v>
      </c>
      <c r="I93" s="28" t="s">
        <v>56</v>
      </c>
      <c r="J93" s="28" t="s">
        <v>56</v>
      </c>
      <c r="K93" s="28" t="s">
        <v>55</v>
      </c>
      <c r="L93" s="28" t="s">
        <v>56</v>
      </c>
      <c r="M93" s="28" t="s">
        <v>56</v>
      </c>
      <c r="N93" s="28" t="s">
        <v>55</v>
      </c>
      <c r="O93" s="29">
        <v>0.58990425232328925</v>
      </c>
      <c r="P93" s="31">
        <v>14204</v>
      </c>
      <c r="Q93" s="31">
        <v>8379</v>
      </c>
    </row>
    <row r="94" spans="1:18" ht="15" customHeight="1" x14ac:dyDescent="0.4">
      <c r="A94" s="28" t="s">
        <v>56</v>
      </c>
      <c r="B94" s="28" t="s">
        <v>56</v>
      </c>
      <c r="C94" s="28" t="s">
        <v>55</v>
      </c>
      <c r="D94" s="28" t="s">
        <v>55</v>
      </c>
      <c r="E94" s="28" t="s">
        <v>56</v>
      </c>
      <c r="F94" s="28" t="s">
        <v>56</v>
      </c>
      <c r="G94" s="28" t="s">
        <v>55</v>
      </c>
      <c r="H94" s="28" t="s">
        <v>56</v>
      </c>
      <c r="I94" s="28" t="s">
        <v>56</v>
      </c>
      <c r="J94" s="28" t="s">
        <v>56</v>
      </c>
      <c r="K94" s="28" t="s">
        <v>55</v>
      </c>
      <c r="L94" s="28" t="s">
        <v>56</v>
      </c>
      <c r="M94" s="28" t="s">
        <v>55</v>
      </c>
      <c r="N94" s="28" t="s">
        <v>56</v>
      </c>
      <c r="O94" s="29">
        <v>0.69140625</v>
      </c>
      <c r="P94" s="31">
        <v>256</v>
      </c>
      <c r="Q94" s="31">
        <v>177</v>
      </c>
    </row>
    <row r="95" spans="1:18" ht="15" customHeight="1" x14ac:dyDescent="0.4">
      <c r="A95" s="28" t="s">
        <v>56</v>
      </c>
      <c r="B95" s="28" t="s">
        <v>56</v>
      </c>
      <c r="C95" s="28" t="s">
        <v>55</v>
      </c>
      <c r="D95" s="28" t="s">
        <v>55</v>
      </c>
      <c r="E95" s="28" t="s">
        <v>56</v>
      </c>
      <c r="F95" s="28" t="s">
        <v>56</v>
      </c>
      <c r="G95" s="28" t="s">
        <v>55</v>
      </c>
      <c r="H95" s="28" t="s">
        <v>56</v>
      </c>
      <c r="I95" s="28" t="s">
        <v>56</v>
      </c>
      <c r="J95" s="28" t="s">
        <v>56</v>
      </c>
      <c r="K95" s="28" t="s">
        <v>55</v>
      </c>
      <c r="L95" s="28" t="s">
        <v>56</v>
      </c>
      <c r="M95" s="28" t="s">
        <v>56</v>
      </c>
      <c r="N95" s="28" t="s">
        <v>55</v>
      </c>
      <c r="O95" s="29">
        <v>0.62403100775193798</v>
      </c>
      <c r="P95" s="31">
        <v>258</v>
      </c>
      <c r="Q95" s="31">
        <v>161</v>
      </c>
    </row>
    <row r="96" spans="1:18" ht="15" customHeight="1" x14ac:dyDescent="0.4">
      <c r="A96" s="28" t="s">
        <v>56</v>
      </c>
      <c r="B96" s="28" t="s">
        <v>56</v>
      </c>
      <c r="C96" s="28" t="s">
        <v>55</v>
      </c>
      <c r="D96" s="28" t="s">
        <v>56</v>
      </c>
      <c r="E96" s="28" t="s">
        <v>55</v>
      </c>
      <c r="F96" s="28" t="s">
        <v>56</v>
      </c>
      <c r="G96" s="28" t="s">
        <v>55</v>
      </c>
      <c r="H96" s="28" t="s">
        <v>56</v>
      </c>
      <c r="I96" s="28" t="s">
        <v>56</v>
      </c>
      <c r="J96" s="28" t="s">
        <v>56</v>
      </c>
      <c r="K96" s="28" t="s">
        <v>55</v>
      </c>
      <c r="L96" s="28" t="s">
        <v>56</v>
      </c>
      <c r="M96" s="28" t="s">
        <v>55</v>
      </c>
      <c r="N96" s="28" t="s">
        <v>56</v>
      </c>
      <c r="O96" s="29">
        <v>0.5908736349453978</v>
      </c>
      <c r="P96" s="31">
        <v>5128</v>
      </c>
      <c r="Q96" s="31">
        <v>3030</v>
      </c>
      <c r="R96" s="3"/>
    </row>
    <row r="97" spans="1:18" ht="15" customHeight="1" x14ac:dyDescent="0.4">
      <c r="A97" s="28" t="s">
        <v>56</v>
      </c>
      <c r="B97" s="28" t="s">
        <v>56</v>
      </c>
      <c r="C97" s="28" t="s">
        <v>55</v>
      </c>
      <c r="D97" s="28" t="s">
        <v>56</v>
      </c>
      <c r="E97" s="28" t="s">
        <v>55</v>
      </c>
      <c r="F97" s="28" t="s">
        <v>56</v>
      </c>
      <c r="G97" s="28" t="s">
        <v>55</v>
      </c>
      <c r="H97" s="28" t="s">
        <v>56</v>
      </c>
      <c r="I97" s="28" t="s">
        <v>56</v>
      </c>
      <c r="J97" s="28" t="s">
        <v>56</v>
      </c>
      <c r="K97" s="28" t="s">
        <v>55</v>
      </c>
      <c r="L97" s="28" t="s">
        <v>56</v>
      </c>
      <c r="M97" s="28" t="s">
        <v>56</v>
      </c>
      <c r="N97" s="28" t="s">
        <v>55</v>
      </c>
      <c r="O97" s="29">
        <v>0.57840013416065739</v>
      </c>
      <c r="P97" s="31">
        <v>5963</v>
      </c>
      <c r="Q97" s="31">
        <v>3449</v>
      </c>
      <c r="R97" s="3"/>
    </row>
    <row r="98" spans="1:18" ht="15" customHeight="1" x14ac:dyDescent="0.4">
      <c r="A98" s="28" t="s">
        <v>55</v>
      </c>
      <c r="B98" s="28" t="s">
        <v>56</v>
      </c>
      <c r="C98" s="28" t="s">
        <v>56</v>
      </c>
      <c r="D98" s="28" t="s">
        <v>55</v>
      </c>
      <c r="E98" s="28" t="s">
        <v>56</v>
      </c>
      <c r="F98" s="28" t="s">
        <v>56</v>
      </c>
      <c r="G98" s="28" t="s">
        <v>56</v>
      </c>
      <c r="H98" s="28" t="s">
        <v>55</v>
      </c>
      <c r="I98" s="28" t="s">
        <v>56</v>
      </c>
      <c r="J98" s="28" t="s">
        <v>56</v>
      </c>
      <c r="K98" s="28" t="s">
        <v>55</v>
      </c>
      <c r="L98" s="28" t="s">
        <v>56</v>
      </c>
      <c r="M98" s="28" t="s">
        <v>55</v>
      </c>
      <c r="N98" s="28" t="s">
        <v>56</v>
      </c>
      <c r="O98" s="29">
        <v>0.80297397769516732</v>
      </c>
      <c r="P98" s="31" t="s">
        <v>57</v>
      </c>
      <c r="Q98" s="31"/>
      <c r="R98" s="3"/>
    </row>
    <row r="99" spans="1:18" ht="15" customHeight="1" x14ac:dyDescent="0.4">
      <c r="A99" s="28" t="s">
        <v>55</v>
      </c>
      <c r="B99" s="28" t="s">
        <v>56</v>
      </c>
      <c r="C99" s="28" t="s">
        <v>56</v>
      </c>
      <c r="D99" s="28" t="s">
        <v>55</v>
      </c>
      <c r="E99" s="28" t="s">
        <v>56</v>
      </c>
      <c r="F99" s="28" t="s">
        <v>56</v>
      </c>
      <c r="G99" s="28" t="s">
        <v>56</v>
      </c>
      <c r="H99" s="28" t="s">
        <v>55</v>
      </c>
      <c r="I99" s="28" t="s">
        <v>56</v>
      </c>
      <c r="J99" s="28" t="s">
        <v>56</v>
      </c>
      <c r="K99" s="28" t="s">
        <v>55</v>
      </c>
      <c r="L99" s="28" t="s">
        <v>56</v>
      </c>
      <c r="M99" s="28" t="s">
        <v>56</v>
      </c>
      <c r="N99" s="28" t="s">
        <v>55</v>
      </c>
      <c r="O99" s="29">
        <v>0.80300000000000005</v>
      </c>
      <c r="P99" s="31" t="s">
        <v>57</v>
      </c>
      <c r="Q99" s="31"/>
      <c r="R99" s="3"/>
    </row>
    <row r="100" spans="1:18" ht="15" customHeight="1" x14ac:dyDescent="0.4">
      <c r="A100" s="28" t="s">
        <v>55</v>
      </c>
      <c r="B100" s="28" t="s">
        <v>56</v>
      </c>
      <c r="C100" s="28" t="s">
        <v>56</v>
      </c>
      <c r="D100" s="28" t="s">
        <v>56</v>
      </c>
      <c r="E100" s="28" t="s">
        <v>55</v>
      </c>
      <c r="F100" s="28" t="s">
        <v>56</v>
      </c>
      <c r="G100" s="28" t="s">
        <v>56</v>
      </c>
      <c r="H100" s="28" t="s">
        <v>55</v>
      </c>
      <c r="I100" s="28" t="s">
        <v>56</v>
      </c>
      <c r="J100" s="28" t="s">
        <v>56</v>
      </c>
      <c r="K100" s="28" t="s">
        <v>55</v>
      </c>
      <c r="L100" s="28" t="s">
        <v>56</v>
      </c>
      <c r="M100" s="28" t="s">
        <v>55</v>
      </c>
      <c r="N100" s="28" t="s">
        <v>56</v>
      </c>
      <c r="O100" s="29">
        <v>0.67241379310344829</v>
      </c>
      <c r="P100" s="31">
        <v>58</v>
      </c>
      <c r="Q100" s="31">
        <v>39</v>
      </c>
    </row>
    <row r="101" spans="1:18" ht="15" customHeight="1" x14ac:dyDescent="0.4">
      <c r="A101" s="28" t="s">
        <v>55</v>
      </c>
      <c r="B101" s="28" t="s">
        <v>56</v>
      </c>
      <c r="C101" s="28" t="s">
        <v>56</v>
      </c>
      <c r="D101" s="28" t="s">
        <v>56</v>
      </c>
      <c r="E101" s="28" t="s">
        <v>55</v>
      </c>
      <c r="F101" s="28" t="s">
        <v>56</v>
      </c>
      <c r="G101" s="28" t="s">
        <v>56</v>
      </c>
      <c r="H101" s="28" t="s">
        <v>55</v>
      </c>
      <c r="I101" s="28" t="s">
        <v>56</v>
      </c>
      <c r="J101" s="28" t="s">
        <v>56</v>
      </c>
      <c r="K101" s="28" t="s">
        <v>55</v>
      </c>
      <c r="L101" s="28" t="s">
        <v>56</v>
      </c>
      <c r="M101" s="28" t="s">
        <v>56</v>
      </c>
      <c r="N101" s="28" t="s">
        <v>55</v>
      </c>
      <c r="O101" s="29">
        <v>0.72440000000000004</v>
      </c>
      <c r="P101" s="31" t="s">
        <v>57</v>
      </c>
      <c r="Q101" s="31"/>
      <c r="R101" s="3"/>
    </row>
    <row r="102" spans="1:18" ht="15" customHeight="1" x14ac:dyDescent="0.4">
      <c r="A102" s="28" t="s">
        <v>56</v>
      </c>
      <c r="B102" s="28" t="s">
        <v>55</v>
      </c>
      <c r="C102" s="28" t="s">
        <v>56</v>
      </c>
      <c r="D102" s="28" t="s">
        <v>55</v>
      </c>
      <c r="E102" s="28" t="s">
        <v>56</v>
      </c>
      <c r="F102" s="28" t="s">
        <v>56</v>
      </c>
      <c r="G102" s="28" t="s">
        <v>56</v>
      </c>
      <c r="H102" s="28" t="s">
        <v>55</v>
      </c>
      <c r="I102" s="28" t="s">
        <v>56</v>
      </c>
      <c r="J102" s="28" t="s">
        <v>56</v>
      </c>
      <c r="K102" s="28" t="s">
        <v>55</v>
      </c>
      <c r="L102" s="28" t="s">
        <v>56</v>
      </c>
      <c r="M102" s="28" t="s">
        <v>55</v>
      </c>
      <c r="N102" s="28" t="s">
        <v>56</v>
      </c>
      <c r="O102" s="29">
        <v>0.72222222222222221</v>
      </c>
      <c r="P102" s="31">
        <v>108</v>
      </c>
      <c r="Q102" s="31">
        <v>78</v>
      </c>
      <c r="R102" s="3"/>
    </row>
    <row r="103" spans="1:18" ht="15" customHeight="1" x14ac:dyDescent="0.4">
      <c r="A103" s="28" t="s">
        <v>56</v>
      </c>
      <c r="B103" s="28" t="s">
        <v>55</v>
      </c>
      <c r="C103" s="28" t="s">
        <v>56</v>
      </c>
      <c r="D103" s="28" t="s">
        <v>55</v>
      </c>
      <c r="E103" s="28" t="s">
        <v>56</v>
      </c>
      <c r="F103" s="28" t="s">
        <v>56</v>
      </c>
      <c r="G103" s="28" t="s">
        <v>56</v>
      </c>
      <c r="H103" s="28" t="s">
        <v>55</v>
      </c>
      <c r="I103" s="28" t="s">
        <v>56</v>
      </c>
      <c r="J103" s="28" t="s">
        <v>56</v>
      </c>
      <c r="K103" s="28" t="s">
        <v>55</v>
      </c>
      <c r="L103" s="28" t="s">
        <v>56</v>
      </c>
      <c r="M103" s="28" t="s">
        <v>56</v>
      </c>
      <c r="N103" s="28" t="s">
        <v>55</v>
      </c>
      <c r="O103" s="29">
        <v>0.60311284046692604</v>
      </c>
      <c r="P103" s="31">
        <v>257</v>
      </c>
      <c r="Q103" s="31">
        <v>155</v>
      </c>
    </row>
    <row r="104" spans="1:18" ht="15" customHeight="1" x14ac:dyDescent="0.4">
      <c r="A104" s="28" t="s">
        <v>56</v>
      </c>
      <c r="B104" s="28" t="s">
        <v>55</v>
      </c>
      <c r="C104" s="28" t="s">
        <v>56</v>
      </c>
      <c r="D104" s="28" t="s">
        <v>56</v>
      </c>
      <c r="E104" s="28" t="s">
        <v>55</v>
      </c>
      <c r="F104" s="28" t="s">
        <v>56</v>
      </c>
      <c r="G104" s="28" t="s">
        <v>56</v>
      </c>
      <c r="H104" s="28" t="s">
        <v>55</v>
      </c>
      <c r="I104" s="28" t="s">
        <v>56</v>
      </c>
      <c r="J104" s="28" t="s">
        <v>56</v>
      </c>
      <c r="K104" s="28" t="s">
        <v>55</v>
      </c>
      <c r="L104" s="28" t="s">
        <v>56</v>
      </c>
      <c r="M104" s="28" t="s">
        <v>55</v>
      </c>
      <c r="N104" s="28" t="s">
        <v>56</v>
      </c>
      <c r="O104" s="29">
        <v>0.59807819748177604</v>
      </c>
      <c r="P104" s="31">
        <v>3018</v>
      </c>
      <c r="Q104" s="31">
        <v>1805</v>
      </c>
      <c r="R104" s="3"/>
    </row>
    <row r="105" spans="1:18" ht="15" customHeight="1" x14ac:dyDescent="0.4">
      <c r="A105" s="28" t="s">
        <v>56</v>
      </c>
      <c r="B105" s="28" t="s">
        <v>55</v>
      </c>
      <c r="C105" s="28" t="s">
        <v>56</v>
      </c>
      <c r="D105" s="28" t="s">
        <v>56</v>
      </c>
      <c r="E105" s="28" t="s">
        <v>55</v>
      </c>
      <c r="F105" s="28" t="s">
        <v>56</v>
      </c>
      <c r="G105" s="28" t="s">
        <v>56</v>
      </c>
      <c r="H105" s="28" t="s">
        <v>55</v>
      </c>
      <c r="I105" s="28" t="s">
        <v>56</v>
      </c>
      <c r="J105" s="28" t="s">
        <v>56</v>
      </c>
      <c r="K105" s="28" t="s">
        <v>55</v>
      </c>
      <c r="L105" s="28" t="s">
        <v>56</v>
      </c>
      <c r="M105" s="28" t="s">
        <v>56</v>
      </c>
      <c r="N105" s="28" t="s">
        <v>55</v>
      </c>
      <c r="O105" s="29">
        <v>0.58236960113287706</v>
      </c>
      <c r="P105" s="31">
        <v>8474</v>
      </c>
      <c r="Q105" s="31">
        <v>4935</v>
      </c>
      <c r="R105" s="3"/>
    </row>
    <row r="106" spans="1:18" ht="15" customHeight="1" x14ac:dyDescent="0.4">
      <c r="A106" s="28" t="s">
        <v>56</v>
      </c>
      <c r="B106" s="28" t="s">
        <v>56</v>
      </c>
      <c r="C106" s="28" t="s">
        <v>55</v>
      </c>
      <c r="D106" s="28" t="s">
        <v>55</v>
      </c>
      <c r="E106" s="28" t="s">
        <v>56</v>
      </c>
      <c r="F106" s="28" t="s">
        <v>56</v>
      </c>
      <c r="G106" s="28" t="s">
        <v>56</v>
      </c>
      <c r="H106" s="28" t="s">
        <v>55</v>
      </c>
      <c r="I106" s="28" t="s">
        <v>56</v>
      </c>
      <c r="J106" s="28" t="s">
        <v>56</v>
      </c>
      <c r="K106" s="28" t="s">
        <v>55</v>
      </c>
      <c r="L106" s="28" t="s">
        <v>56</v>
      </c>
      <c r="M106" s="28" t="s">
        <v>55</v>
      </c>
      <c r="N106" s="28" t="s">
        <v>56</v>
      </c>
      <c r="O106" s="29">
        <v>0.65</v>
      </c>
      <c r="P106" s="31" t="s">
        <v>57</v>
      </c>
      <c r="Q106" s="31">
        <v>27</v>
      </c>
      <c r="R106" s="3"/>
    </row>
    <row r="107" spans="1:18" ht="15" customHeight="1" x14ac:dyDescent="0.4">
      <c r="A107" s="28" t="s">
        <v>56</v>
      </c>
      <c r="B107" s="28" t="s">
        <v>56</v>
      </c>
      <c r="C107" s="28" t="s">
        <v>55</v>
      </c>
      <c r="D107" s="28" t="s">
        <v>55</v>
      </c>
      <c r="E107" s="28" t="s">
        <v>56</v>
      </c>
      <c r="F107" s="28" t="s">
        <v>56</v>
      </c>
      <c r="G107" s="28" t="s">
        <v>56</v>
      </c>
      <c r="H107" s="28" t="s">
        <v>55</v>
      </c>
      <c r="I107" s="28" t="s">
        <v>56</v>
      </c>
      <c r="J107" s="28" t="s">
        <v>56</v>
      </c>
      <c r="K107" s="28" t="s">
        <v>55</v>
      </c>
      <c r="L107" s="28" t="s">
        <v>56</v>
      </c>
      <c r="M107" s="28" t="s">
        <v>56</v>
      </c>
      <c r="N107" s="28" t="s">
        <v>55</v>
      </c>
      <c r="O107" s="29">
        <v>0.63063063063063063</v>
      </c>
      <c r="P107" s="31">
        <v>222</v>
      </c>
      <c r="Q107" s="31">
        <v>140</v>
      </c>
    </row>
    <row r="108" spans="1:18" ht="15" customHeight="1" x14ac:dyDescent="0.4">
      <c r="A108" s="28" t="s">
        <v>56</v>
      </c>
      <c r="B108" s="28" t="s">
        <v>56</v>
      </c>
      <c r="C108" s="28" t="s">
        <v>55</v>
      </c>
      <c r="D108" s="28" t="s">
        <v>56</v>
      </c>
      <c r="E108" s="28" t="s">
        <v>55</v>
      </c>
      <c r="F108" s="28" t="s">
        <v>56</v>
      </c>
      <c r="G108" s="28" t="s">
        <v>56</v>
      </c>
      <c r="H108" s="28" t="s">
        <v>55</v>
      </c>
      <c r="I108" s="28" t="s">
        <v>56</v>
      </c>
      <c r="J108" s="28" t="s">
        <v>56</v>
      </c>
      <c r="K108" s="28" t="s">
        <v>55</v>
      </c>
      <c r="L108" s="28" t="s">
        <v>56</v>
      </c>
      <c r="M108" s="28" t="s">
        <v>55</v>
      </c>
      <c r="N108" s="28" t="s">
        <v>56</v>
      </c>
      <c r="O108" s="29">
        <v>0.5902578796561605</v>
      </c>
      <c r="P108" s="31">
        <v>1047</v>
      </c>
      <c r="Q108" s="31">
        <v>618</v>
      </c>
    </row>
    <row r="109" spans="1:18" ht="15" customHeight="1" x14ac:dyDescent="0.4">
      <c r="A109" s="28" t="s">
        <v>56</v>
      </c>
      <c r="B109" s="28" t="s">
        <v>56</v>
      </c>
      <c r="C109" s="28" t="s">
        <v>55</v>
      </c>
      <c r="D109" s="28" t="s">
        <v>56</v>
      </c>
      <c r="E109" s="28" t="s">
        <v>55</v>
      </c>
      <c r="F109" s="28" t="s">
        <v>56</v>
      </c>
      <c r="G109" s="28" t="s">
        <v>56</v>
      </c>
      <c r="H109" s="28" t="s">
        <v>55</v>
      </c>
      <c r="I109" s="28" t="s">
        <v>56</v>
      </c>
      <c r="J109" s="28" t="s">
        <v>56</v>
      </c>
      <c r="K109" s="28" t="s">
        <v>55</v>
      </c>
      <c r="L109" s="28" t="s">
        <v>56</v>
      </c>
      <c r="M109" s="28" t="s">
        <v>56</v>
      </c>
      <c r="N109" s="28" t="s">
        <v>55</v>
      </c>
      <c r="O109" s="29">
        <v>0.55437499999999995</v>
      </c>
      <c r="P109" s="31">
        <v>6400</v>
      </c>
      <c r="Q109" s="31">
        <v>3548</v>
      </c>
    </row>
    <row r="110" spans="1:18" ht="15" customHeight="1" x14ac:dyDescent="0.4">
      <c r="A110" s="28" t="s">
        <v>55</v>
      </c>
      <c r="B110" s="28" t="s">
        <v>56</v>
      </c>
      <c r="C110" s="28" t="s">
        <v>56</v>
      </c>
      <c r="D110" s="28" t="s">
        <v>55</v>
      </c>
      <c r="E110" s="28" t="s">
        <v>56</v>
      </c>
      <c r="F110" s="28" t="s">
        <v>55</v>
      </c>
      <c r="G110" s="28" t="s">
        <v>56</v>
      </c>
      <c r="H110" s="28" t="s">
        <v>56</v>
      </c>
      <c r="I110" s="28" t="s">
        <v>55</v>
      </c>
      <c r="J110" s="28" t="s">
        <v>56</v>
      </c>
      <c r="K110" s="28" t="s">
        <v>55</v>
      </c>
      <c r="L110" s="28" t="s">
        <v>56</v>
      </c>
      <c r="M110" s="28" t="s">
        <v>55</v>
      </c>
      <c r="N110" s="28" t="s">
        <v>56</v>
      </c>
      <c r="O110" s="29">
        <v>0.9</v>
      </c>
      <c r="P110" s="31" t="s">
        <v>57</v>
      </c>
      <c r="Q110" s="31">
        <v>10</v>
      </c>
    </row>
    <row r="111" spans="1:18" ht="15" customHeight="1" x14ac:dyDescent="0.4">
      <c r="A111" s="28" t="s">
        <v>55</v>
      </c>
      <c r="B111" s="28" t="s">
        <v>56</v>
      </c>
      <c r="C111" s="28" t="s">
        <v>56</v>
      </c>
      <c r="D111" s="28" t="s">
        <v>55</v>
      </c>
      <c r="E111" s="28" t="s">
        <v>56</v>
      </c>
      <c r="F111" s="28" t="s">
        <v>55</v>
      </c>
      <c r="G111" s="28" t="s">
        <v>56</v>
      </c>
      <c r="H111" s="28" t="s">
        <v>56</v>
      </c>
      <c r="I111" s="28" t="s">
        <v>55</v>
      </c>
      <c r="J111" s="28" t="s">
        <v>56</v>
      </c>
      <c r="K111" s="28" t="s">
        <v>55</v>
      </c>
      <c r="L111" s="28" t="s">
        <v>56</v>
      </c>
      <c r="M111" s="28" t="s">
        <v>56</v>
      </c>
      <c r="N111" s="28" t="s">
        <v>55</v>
      </c>
      <c r="O111" s="29">
        <v>0.9</v>
      </c>
      <c r="P111" s="31" t="s">
        <v>57</v>
      </c>
      <c r="Q111" s="31" t="s">
        <v>57</v>
      </c>
    </row>
    <row r="112" spans="1:18" ht="15" customHeight="1" x14ac:dyDescent="0.4">
      <c r="A112" s="28" t="s">
        <v>55</v>
      </c>
      <c r="B112" s="28" t="s">
        <v>56</v>
      </c>
      <c r="C112" s="28" t="s">
        <v>56</v>
      </c>
      <c r="D112" s="28" t="s">
        <v>56</v>
      </c>
      <c r="E112" s="28" t="s">
        <v>55</v>
      </c>
      <c r="F112" s="28" t="s">
        <v>55</v>
      </c>
      <c r="G112" s="28" t="s">
        <v>56</v>
      </c>
      <c r="H112" s="28" t="s">
        <v>56</v>
      </c>
      <c r="I112" s="28" t="s">
        <v>55</v>
      </c>
      <c r="J112" s="28" t="s">
        <v>56</v>
      </c>
      <c r="K112" s="28" t="s">
        <v>55</v>
      </c>
      <c r="L112" s="28" t="s">
        <v>56</v>
      </c>
      <c r="M112" s="28" t="s">
        <v>55</v>
      </c>
      <c r="N112" s="28" t="s">
        <v>56</v>
      </c>
      <c r="O112" s="29">
        <v>0.8</v>
      </c>
      <c r="P112" s="31" t="s">
        <v>57</v>
      </c>
      <c r="Q112" s="31">
        <v>42</v>
      </c>
    </row>
    <row r="113" spans="1:18" ht="15" customHeight="1" x14ac:dyDescent="0.4">
      <c r="A113" s="28" t="s">
        <v>55</v>
      </c>
      <c r="B113" s="28" t="s">
        <v>56</v>
      </c>
      <c r="C113" s="28" t="s">
        <v>56</v>
      </c>
      <c r="D113" s="28" t="s">
        <v>56</v>
      </c>
      <c r="E113" s="28" t="s">
        <v>55</v>
      </c>
      <c r="F113" s="28" t="s">
        <v>55</v>
      </c>
      <c r="G113" s="28" t="s">
        <v>56</v>
      </c>
      <c r="H113" s="28" t="s">
        <v>56</v>
      </c>
      <c r="I113" s="28" t="s">
        <v>55</v>
      </c>
      <c r="J113" s="28" t="s">
        <v>56</v>
      </c>
      <c r="K113" s="28" t="s">
        <v>55</v>
      </c>
      <c r="L113" s="28" t="s">
        <v>56</v>
      </c>
      <c r="M113" s="28" t="s">
        <v>56</v>
      </c>
      <c r="N113" s="28" t="s">
        <v>55</v>
      </c>
      <c r="O113" s="29">
        <v>0.8</v>
      </c>
      <c r="P113" s="31" t="s">
        <v>57</v>
      </c>
      <c r="Q113" s="31" t="s">
        <v>57</v>
      </c>
      <c r="R113" s="3"/>
    </row>
    <row r="114" spans="1:18" ht="15" customHeight="1" x14ac:dyDescent="0.4">
      <c r="A114" s="28" t="s">
        <v>56</v>
      </c>
      <c r="B114" s="28" t="s">
        <v>55</v>
      </c>
      <c r="C114" s="28" t="s">
        <v>56</v>
      </c>
      <c r="D114" s="28" t="s">
        <v>55</v>
      </c>
      <c r="E114" s="28" t="s">
        <v>56</v>
      </c>
      <c r="F114" s="28" t="s">
        <v>55</v>
      </c>
      <c r="G114" s="28" t="s">
        <v>56</v>
      </c>
      <c r="H114" s="28" t="s">
        <v>56</v>
      </c>
      <c r="I114" s="28" t="s">
        <v>55</v>
      </c>
      <c r="J114" s="28" t="s">
        <v>56</v>
      </c>
      <c r="K114" s="28" t="s">
        <v>55</v>
      </c>
      <c r="L114" s="28" t="s">
        <v>56</v>
      </c>
      <c r="M114" s="28" t="s">
        <v>55</v>
      </c>
      <c r="N114" s="28" t="s">
        <v>56</v>
      </c>
      <c r="O114" s="29">
        <v>0.88139534883720927</v>
      </c>
      <c r="P114" s="31">
        <v>430</v>
      </c>
      <c r="Q114" s="31">
        <v>379</v>
      </c>
      <c r="R114" s="3"/>
    </row>
    <row r="115" spans="1:18" ht="15" customHeight="1" x14ac:dyDescent="0.4">
      <c r="A115" s="28" t="s">
        <v>56</v>
      </c>
      <c r="B115" s="28" t="s">
        <v>55</v>
      </c>
      <c r="C115" s="28" t="s">
        <v>56</v>
      </c>
      <c r="D115" s="28" t="s">
        <v>55</v>
      </c>
      <c r="E115" s="28" t="s">
        <v>56</v>
      </c>
      <c r="F115" s="28" t="s">
        <v>55</v>
      </c>
      <c r="G115" s="28" t="s">
        <v>56</v>
      </c>
      <c r="H115" s="28" t="s">
        <v>56</v>
      </c>
      <c r="I115" s="28" t="s">
        <v>55</v>
      </c>
      <c r="J115" s="28" t="s">
        <v>56</v>
      </c>
      <c r="K115" s="28" t="s">
        <v>55</v>
      </c>
      <c r="L115" s="28" t="s">
        <v>56</v>
      </c>
      <c r="M115" s="28" t="s">
        <v>56</v>
      </c>
      <c r="N115" s="28" t="s">
        <v>55</v>
      </c>
      <c r="O115" s="29">
        <v>0.83098591549295775</v>
      </c>
      <c r="P115" s="31">
        <v>355</v>
      </c>
      <c r="Q115" s="31">
        <v>295</v>
      </c>
      <c r="R115" s="3"/>
    </row>
    <row r="116" spans="1:18" ht="15" customHeight="1" x14ac:dyDescent="0.4">
      <c r="A116" s="28" t="s">
        <v>56</v>
      </c>
      <c r="B116" s="28" t="s">
        <v>55</v>
      </c>
      <c r="C116" s="28" t="s">
        <v>56</v>
      </c>
      <c r="D116" s="28" t="s">
        <v>56</v>
      </c>
      <c r="E116" s="28" t="s">
        <v>55</v>
      </c>
      <c r="F116" s="28" t="s">
        <v>55</v>
      </c>
      <c r="G116" s="28" t="s">
        <v>56</v>
      </c>
      <c r="H116" s="28" t="s">
        <v>56</v>
      </c>
      <c r="I116" s="28" t="s">
        <v>55</v>
      </c>
      <c r="J116" s="28" t="s">
        <v>56</v>
      </c>
      <c r="K116" s="28" t="s">
        <v>55</v>
      </c>
      <c r="L116" s="28" t="s">
        <v>56</v>
      </c>
      <c r="M116" s="28" t="s">
        <v>55</v>
      </c>
      <c r="N116" s="28" t="s">
        <v>56</v>
      </c>
      <c r="O116" s="29">
        <v>0.79332406119610566</v>
      </c>
      <c r="P116" s="31">
        <v>3595</v>
      </c>
      <c r="Q116" s="31">
        <v>2852</v>
      </c>
      <c r="R116" s="3"/>
    </row>
    <row r="117" spans="1:18" ht="15" customHeight="1" x14ac:dyDescent="0.4">
      <c r="A117" s="28" t="s">
        <v>56</v>
      </c>
      <c r="B117" s="28" t="s">
        <v>55</v>
      </c>
      <c r="C117" s="28" t="s">
        <v>56</v>
      </c>
      <c r="D117" s="28" t="s">
        <v>56</v>
      </c>
      <c r="E117" s="28" t="s">
        <v>55</v>
      </c>
      <c r="F117" s="28" t="s">
        <v>55</v>
      </c>
      <c r="G117" s="28" t="s">
        <v>56</v>
      </c>
      <c r="H117" s="28" t="s">
        <v>56</v>
      </c>
      <c r="I117" s="28" t="s">
        <v>55</v>
      </c>
      <c r="J117" s="28" t="s">
        <v>56</v>
      </c>
      <c r="K117" s="28" t="s">
        <v>55</v>
      </c>
      <c r="L117" s="28" t="s">
        <v>56</v>
      </c>
      <c r="M117" s="28" t="s">
        <v>56</v>
      </c>
      <c r="N117" s="28" t="s">
        <v>55</v>
      </c>
      <c r="O117" s="29">
        <v>0.78602508318402864</v>
      </c>
      <c r="P117" s="31">
        <v>3907</v>
      </c>
      <c r="Q117" s="31">
        <v>3071</v>
      </c>
    </row>
    <row r="118" spans="1:18" ht="15" customHeight="1" x14ac:dyDescent="0.4">
      <c r="A118" s="28" t="s">
        <v>56</v>
      </c>
      <c r="B118" s="28" t="s">
        <v>56</v>
      </c>
      <c r="C118" s="28" t="s">
        <v>55</v>
      </c>
      <c r="D118" s="28" t="s">
        <v>55</v>
      </c>
      <c r="E118" s="28" t="s">
        <v>56</v>
      </c>
      <c r="F118" s="28" t="s">
        <v>55</v>
      </c>
      <c r="G118" s="28" t="s">
        <v>56</v>
      </c>
      <c r="H118" s="28" t="s">
        <v>56</v>
      </c>
      <c r="I118" s="28" t="s">
        <v>55</v>
      </c>
      <c r="J118" s="28" t="s">
        <v>56</v>
      </c>
      <c r="K118" s="28" t="s">
        <v>55</v>
      </c>
      <c r="L118" s="28" t="s">
        <v>56</v>
      </c>
      <c r="M118" s="28" t="s">
        <v>55</v>
      </c>
      <c r="N118" s="28" t="s">
        <v>56</v>
      </c>
      <c r="O118" s="29">
        <v>0.86046511627906974</v>
      </c>
      <c r="P118" s="31">
        <v>86</v>
      </c>
      <c r="Q118" s="31">
        <v>74</v>
      </c>
      <c r="R118" s="3"/>
    </row>
    <row r="119" spans="1:18" ht="15" customHeight="1" x14ac:dyDescent="0.4">
      <c r="A119" s="28" t="s">
        <v>56</v>
      </c>
      <c r="B119" s="28" t="s">
        <v>56</v>
      </c>
      <c r="C119" s="28" t="s">
        <v>55</v>
      </c>
      <c r="D119" s="28" t="s">
        <v>55</v>
      </c>
      <c r="E119" s="28" t="s">
        <v>56</v>
      </c>
      <c r="F119" s="28" t="s">
        <v>55</v>
      </c>
      <c r="G119" s="28" t="s">
        <v>56</v>
      </c>
      <c r="H119" s="28" t="s">
        <v>56</v>
      </c>
      <c r="I119" s="28" t="s">
        <v>55</v>
      </c>
      <c r="J119" s="28" t="s">
        <v>56</v>
      </c>
      <c r="K119" s="28" t="s">
        <v>55</v>
      </c>
      <c r="L119" s="28" t="s">
        <v>56</v>
      </c>
      <c r="M119" s="28" t="s">
        <v>56</v>
      </c>
      <c r="N119" s="28" t="s">
        <v>55</v>
      </c>
      <c r="O119" s="29">
        <v>0.80327868852459017</v>
      </c>
      <c r="P119" s="31">
        <v>183</v>
      </c>
      <c r="Q119" s="31">
        <v>147</v>
      </c>
    </row>
    <row r="120" spans="1:18" ht="15" customHeight="1" x14ac:dyDescent="0.4">
      <c r="A120" s="28" t="s">
        <v>56</v>
      </c>
      <c r="B120" s="28" t="s">
        <v>56</v>
      </c>
      <c r="C120" s="28" t="s">
        <v>55</v>
      </c>
      <c r="D120" s="28" t="s">
        <v>56</v>
      </c>
      <c r="E120" s="28" t="s">
        <v>55</v>
      </c>
      <c r="F120" s="28" t="s">
        <v>55</v>
      </c>
      <c r="G120" s="28" t="s">
        <v>56</v>
      </c>
      <c r="H120" s="28" t="s">
        <v>56</v>
      </c>
      <c r="I120" s="28" t="s">
        <v>55</v>
      </c>
      <c r="J120" s="28" t="s">
        <v>56</v>
      </c>
      <c r="K120" s="28" t="s">
        <v>55</v>
      </c>
      <c r="L120" s="28" t="s">
        <v>56</v>
      </c>
      <c r="M120" s="28" t="s">
        <v>55</v>
      </c>
      <c r="N120" s="28" t="s">
        <v>56</v>
      </c>
      <c r="O120" s="29">
        <v>0.74353448275862066</v>
      </c>
      <c r="P120" s="31">
        <v>928</v>
      </c>
      <c r="Q120" s="31">
        <v>690</v>
      </c>
    </row>
    <row r="121" spans="1:18" ht="15" customHeight="1" x14ac:dyDescent="0.4">
      <c r="A121" s="28" t="s">
        <v>56</v>
      </c>
      <c r="B121" s="28" t="s">
        <v>56</v>
      </c>
      <c r="C121" s="28" t="s">
        <v>55</v>
      </c>
      <c r="D121" s="28" t="s">
        <v>56</v>
      </c>
      <c r="E121" s="28" t="s">
        <v>55</v>
      </c>
      <c r="F121" s="28" t="s">
        <v>55</v>
      </c>
      <c r="G121" s="28" t="s">
        <v>56</v>
      </c>
      <c r="H121" s="28" t="s">
        <v>56</v>
      </c>
      <c r="I121" s="28" t="s">
        <v>55</v>
      </c>
      <c r="J121" s="28" t="s">
        <v>56</v>
      </c>
      <c r="K121" s="28" t="s">
        <v>55</v>
      </c>
      <c r="L121" s="28" t="s">
        <v>56</v>
      </c>
      <c r="M121" s="28" t="s">
        <v>56</v>
      </c>
      <c r="N121" s="28" t="s">
        <v>55</v>
      </c>
      <c r="O121" s="29">
        <v>0.74247948951686416</v>
      </c>
      <c r="P121" s="31">
        <v>2194</v>
      </c>
      <c r="Q121" s="31">
        <v>1629</v>
      </c>
    </row>
    <row r="122" spans="1:18" ht="15" customHeight="1" x14ac:dyDescent="0.4">
      <c r="A122" s="28" t="s">
        <v>55</v>
      </c>
      <c r="B122" s="28" t="s">
        <v>56</v>
      </c>
      <c r="C122" s="28" t="s">
        <v>56</v>
      </c>
      <c r="D122" s="28" t="s">
        <v>55</v>
      </c>
      <c r="E122" s="28" t="s">
        <v>56</v>
      </c>
      <c r="F122" s="28" t="s">
        <v>56</v>
      </c>
      <c r="G122" s="28" t="s">
        <v>55</v>
      </c>
      <c r="H122" s="28" t="s">
        <v>56</v>
      </c>
      <c r="I122" s="28" t="s">
        <v>55</v>
      </c>
      <c r="J122" s="28" t="s">
        <v>56</v>
      </c>
      <c r="K122" s="28" t="s">
        <v>55</v>
      </c>
      <c r="L122" s="28" t="s">
        <v>56</v>
      </c>
      <c r="M122" s="28" t="s">
        <v>55</v>
      </c>
      <c r="N122" s="28" t="s">
        <v>56</v>
      </c>
      <c r="O122" s="29">
        <v>0.9</v>
      </c>
      <c r="P122" s="31" t="s">
        <v>57</v>
      </c>
      <c r="Q122" s="31">
        <v>13</v>
      </c>
    </row>
    <row r="123" spans="1:18" ht="15" customHeight="1" x14ac:dyDescent="0.4">
      <c r="A123" s="28" t="s">
        <v>55</v>
      </c>
      <c r="B123" s="28" t="s">
        <v>56</v>
      </c>
      <c r="C123" s="28" t="s">
        <v>56</v>
      </c>
      <c r="D123" s="28" t="s">
        <v>55</v>
      </c>
      <c r="E123" s="28" t="s">
        <v>56</v>
      </c>
      <c r="F123" s="28" t="s">
        <v>56</v>
      </c>
      <c r="G123" s="28" t="s">
        <v>55</v>
      </c>
      <c r="H123" s="28" t="s">
        <v>56</v>
      </c>
      <c r="I123" s="28" t="s">
        <v>55</v>
      </c>
      <c r="J123" s="28" t="s">
        <v>56</v>
      </c>
      <c r="K123" s="28" t="s">
        <v>55</v>
      </c>
      <c r="L123" s="28" t="s">
        <v>56</v>
      </c>
      <c r="M123" s="28" t="s">
        <v>56</v>
      </c>
      <c r="N123" s="28" t="s">
        <v>55</v>
      </c>
      <c r="O123" s="29">
        <v>0.9</v>
      </c>
      <c r="P123" s="31" t="s">
        <v>57</v>
      </c>
      <c r="Q123" s="31" t="s">
        <v>57</v>
      </c>
    </row>
    <row r="124" spans="1:18" ht="15" customHeight="1" x14ac:dyDescent="0.4">
      <c r="A124" s="28" t="s">
        <v>55</v>
      </c>
      <c r="B124" s="28" t="s">
        <v>56</v>
      </c>
      <c r="C124" s="28" t="s">
        <v>56</v>
      </c>
      <c r="D124" s="28" t="s">
        <v>56</v>
      </c>
      <c r="E124" s="28" t="s">
        <v>55</v>
      </c>
      <c r="F124" s="28" t="s">
        <v>56</v>
      </c>
      <c r="G124" s="28" t="s">
        <v>55</v>
      </c>
      <c r="H124" s="28" t="s">
        <v>56</v>
      </c>
      <c r="I124" s="28" t="s">
        <v>55</v>
      </c>
      <c r="J124" s="28" t="s">
        <v>56</v>
      </c>
      <c r="K124" s="28" t="s">
        <v>55</v>
      </c>
      <c r="L124" s="28" t="s">
        <v>56</v>
      </c>
      <c r="M124" s="28" t="s">
        <v>55</v>
      </c>
      <c r="N124" s="28" t="s">
        <v>56</v>
      </c>
      <c r="O124" s="29">
        <v>0.77272727272727271</v>
      </c>
      <c r="P124" s="31">
        <v>44</v>
      </c>
      <c r="Q124" s="31">
        <v>34</v>
      </c>
      <c r="R124" s="3"/>
    </row>
    <row r="125" spans="1:18" ht="15" customHeight="1" x14ac:dyDescent="0.4">
      <c r="A125" s="28" t="s">
        <v>55</v>
      </c>
      <c r="B125" s="28" t="s">
        <v>56</v>
      </c>
      <c r="C125" s="28" t="s">
        <v>56</v>
      </c>
      <c r="D125" s="28" t="s">
        <v>56</v>
      </c>
      <c r="E125" s="28" t="s">
        <v>55</v>
      </c>
      <c r="F125" s="28" t="s">
        <v>56</v>
      </c>
      <c r="G125" s="28" t="s">
        <v>55</v>
      </c>
      <c r="H125" s="28" t="s">
        <v>56</v>
      </c>
      <c r="I125" s="28" t="s">
        <v>55</v>
      </c>
      <c r="J125" s="28" t="s">
        <v>56</v>
      </c>
      <c r="K125" s="28" t="s">
        <v>55</v>
      </c>
      <c r="L125" s="28" t="s">
        <v>56</v>
      </c>
      <c r="M125" s="28" t="s">
        <v>56</v>
      </c>
      <c r="N125" s="28" t="s">
        <v>55</v>
      </c>
      <c r="O125" s="29">
        <v>0.77272727272727271</v>
      </c>
      <c r="P125" s="31" t="s">
        <v>57</v>
      </c>
      <c r="Q125" s="31" t="s">
        <v>57</v>
      </c>
    </row>
    <row r="126" spans="1:18" ht="15" customHeight="1" x14ac:dyDescent="0.4">
      <c r="A126" s="28" t="s">
        <v>56</v>
      </c>
      <c r="B126" s="28" t="s">
        <v>55</v>
      </c>
      <c r="C126" s="28" t="s">
        <v>56</v>
      </c>
      <c r="D126" s="28" t="s">
        <v>55</v>
      </c>
      <c r="E126" s="28" t="s">
        <v>56</v>
      </c>
      <c r="F126" s="28" t="s">
        <v>56</v>
      </c>
      <c r="G126" s="28" t="s">
        <v>55</v>
      </c>
      <c r="H126" s="28" t="s">
        <v>56</v>
      </c>
      <c r="I126" s="28" t="s">
        <v>55</v>
      </c>
      <c r="J126" s="28" t="s">
        <v>56</v>
      </c>
      <c r="K126" s="28" t="s">
        <v>55</v>
      </c>
      <c r="L126" s="28" t="s">
        <v>56</v>
      </c>
      <c r="M126" s="28" t="s">
        <v>55</v>
      </c>
      <c r="N126" s="28" t="s">
        <v>56</v>
      </c>
      <c r="O126" s="29">
        <v>0.90047393364928907</v>
      </c>
      <c r="P126" s="31">
        <v>422</v>
      </c>
      <c r="Q126" s="31">
        <v>380</v>
      </c>
    </row>
    <row r="127" spans="1:18" ht="15" customHeight="1" x14ac:dyDescent="0.4">
      <c r="A127" s="28" t="s">
        <v>56</v>
      </c>
      <c r="B127" s="28" t="s">
        <v>55</v>
      </c>
      <c r="C127" s="28" t="s">
        <v>56</v>
      </c>
      <c r="D127" s="28" t="s">
        <v>55</v>
      </c>
      <c r="E127" s="28" t="s">
        <v>56</v>
      </c>
      <c r="F127" s="28" t="s">
        <v>56</v>
      </c>
      <c r="G127" s="28" t="s">
        <v>55</v>
      </c>
      <c r="H127" s="28" t="s">
        <v>56</v>
      </c>
      <c r="I127" s="28" t="s">
        <v>55</v>
      </c>
      <c r="J127" s="28" t="s">
        <v>56</v>
      </c>
      <c r="K127" s="28" t="s">
        <v>55</v>
      </c>
      <c r="L127" s="28" t="s">
        <v>56</v>
      </c>
      <c r="M127" s="28" t="s">
        <v>56</v>
      </c>
      <c r="N127" s="28" t="s">
        <v>55</v>
      </c>
      <c r="O127" s="29">
        <v>0.90047393364928907</v>
      </c>
      <c r="P127" s="31" t="s">
        <v>57</v>
      </c>
      <c r="Q127" s="31">
        <v>91</v>
      </c>
    </row>
    <row r="128" spans="1:18" ht="15" customHeight="1" x14ac:dyDescent="0.4">
      <c r="A128" s="28" t="s">
        <v>56</v>
      </c>
      <c r="B128" s="28" t="s">
        <v>55</v>
      </c>
      <c r="C128" s="28" t="s">
        <v>56</v>
      </c>
      <c r="D128" s="28" t="s">
        <v>56</v>
      </c>
      <c r="E128" s="28" t="s">
        <v>55</v>
      </c>
      <c r="F128" s="28" t="s">
        <v>56</v>
      </c>
      <c r="G128" s="28" t="s">
        <v>55</v>
      </c>
      <c r="H128" s="28" t="s">
        <v>56</v>
      </c>
      <c r="I128" s="28" t="s">
        <v>55</v>
      </c>
      <c r="J128" s="28" t="s">
        <v>56</v>
      </c>
      <c r="K128" s="28" t="s">
        <v>55</v>
      </c>
      <c r="L128" s="28" t="s">
        <v>56</v>
      </c>
      <c r="M128" s="28" t="s">
        <v>55</v>
      </c>
      <c r="N128" s="28" t="s">
        <v>56</v>
      </c>
      <c r="O128" s="29">
        <v>0.80588839438548443</v>
      </c>
      <c r="P128" s="31">
        <v>2921</v>
      </c>
      <c r="Q128" s="31">
        <v>2354</v>
      </c>
    </row>
    <row r="129" spans="1:17" ht="15" customHeight="1" x14ac:dyDescent="0.4">
      <c r="A129" s="28" t="s">
        <v>56</v>
      </c>
      <c r="B129" s="28" t="s">
        <v>55</v>
      </c>
      <c r="C129" s="28" t="s">
        <v>56</v>
      </c>
      <c r="D129" s="28" t="s">
        <v>56</v>
      </c>
      <c r="E129" s="28" t="s">
        <v>55</v>
      </c>
      <c r="F129" s="28" t="s">
        <v>56</v>
      </c>
      <c r="G129" s="28" t="s">
        <v>55</v>
      </c>
      <c r="H129" s="28" t="s">
        <v>56</v>
      </c>
      <c r="I129" s="28" t="s">
        <v>55</v>
      </c>
      <c r="J129" s="28" t="s">
        <v>56</v>
      </c>
      <c r="K129" s="28" t="s">
        <v>55</v>
      </c>
      <c r="L129" s="28" t="s">
        <v>56</v>
      </c>
      <c r="M129" s="28" t="s">
        <v>56</v>
      </c>
      <c r="N129" s="28" t="s">
        <v>55</v>
      </c>
      <c r="O129" s="29">
        <v>0.77353689567430028</v>
      </c>
      <c r="P129" s="31">
        <v>786</v>
      </c>
      <c r="Q129" s="31">
        <v>608</v>
      </c>
    </row>
    <row r="130" spans="1:17" ht="15" customHeight="1" x14ac:dyDescent="0.4">
      <c r="A130" s="28" t="s">
        <v>56</v>
      </c>
      <c r="B130" s="28" t="s">
        <v>56</v>
      </c>
      <c r="C130" s="28" t="s">
        <v>55</v>
      </c>
      <c r="D130" s="28" t="s">
        <v>55</v>
      </c>
      <c r="E130" s="28" t="s">
        <v>56</v>
      </c>
      <c r="F130" s="28" t="s">
        <v>56</v>
      </c>
      <c r="G130" s="28" t="s">
        <v>55</v>
      </c>
      <c r="H130" s="28" t="s">
        <v>56</v>
      </c>
      <c r="I130" s="28" t="s">
        <v>55</v>
      </c>
      <c r="J130" s="28" t="s">
        <v>56</v>
      </c>
      <c r="K130" s="28" t="s">
        <v>55</v>
      </c>
      <c r="L130" s="28" t="s">
        <v>56</v>
      </c>
      <c r="M130" s="28" t="s">
        <v>55</v>
      </c>
      <c r="N130" s="28" t="s">
        <v>56</v>
      </c>
      <c r="O130" s="29">
        <v>0.9</v>
      </c>
      <c r="P130" s="31" t="s">
        <v>57</v>
      </c>
      <c r="Q130" s="31">
        <v>45</v>
      </c>
    </row>
    <row r="131" spans="1:17" ht="15" customHeight="1" x14ac:dyDescent="0.4">
      <c r="A131" s="28" t="s">
        <v>56</v>
      </c>
      <c r="B131" s="28" t="s">
        <v>56</v>
      </c>
      <c r="C131" s="28" t="s">
        <v>55</v>
      </c>
      <c r="D131" s="28" t="s">
        <v>55</v>
      </c>
      <c r="E131" s="28" t="s">
        <v>56</v>
      </c>
      <c r="F131" s="28" t="s">
        <v>56</v>
      </c>
      <c r="G131" s="28" t="s">
        <v>55</v>
      </c>
      <c r="H131" s="28" t="s">
        <v>56</v>
      </c>
      <c r="I131" s="28" t="s">
        <v>55</v>
      </c>
      <c r="J131" s="28" t="s">
        <v>56</v>
      </c>
      <c r="K131" s="28" t="s">
        <v>55</v>
      </c>
      <c r="L131" s="28" t="s">
        <v>56</v>
      </c>
      <c r="M131" s="28" t="s">
        <v>56</v>
      </c>
      <c r="N131" s="28" t="s">
        <v>55</v>
      </c>
      <c r="O131" s="29">
        <v>0.9</v>
      </c>
      <c r="P131" s="31" t="s">
        <v>57</v>
      </c>
      <c r="Q131" s="31">
        <v>34</v>
      </c>
    </row>
    <row r="132" spans="1:17" ht="15" customHeight="1" x14ac:dyDescent="0.4">
      <c r="A132" s="28" t="s">
        <v>56</v>
      </c>
      <c r="B132" s="28" t="s">
        <v>56</v>
      </c>
      <c r="C132" s="28" t="s">
        <v>55</v>
      </c>
      <c r="D132" s="28" t="s">
        <v>56</v>
      </c>
      <c r="E132" s="28" t="s">
        <v>55</v>
      </c>
      <c r="F132" s="28" t="s">
        <v>56</v>
      </c>
      <c r="G132" s="28" t="s">
        <v>55</v>
      </c>
      <c r="H132" s="28" t="s">
        <v>56</v>
      </c>
      <c r="I132" s="28" t="s">
        <v>55</v>
      </c>
      <c r="J132" s="28" t="s">
        <v>56</v>
      </c>
      <c r="K132" s="28" t="s">
        <v>55</v>
      </c>
      <c r="L132" s="28" t="s">
        <v>56</v>
      </c>
      <c r="M132" s="28" t="s">
        <v>55</v>
      </c>
      <c r="N132" s="28" t="s">
        <v>56</v>
      </c>
      <c r="O132" s="29">
        <v>0.79534883720930227</v>
      </c>
      <c r="P132" s="31">
        <v>645</v>
      </c>
      <c r="Q132" s="31">
        <v>513</v>
      </c>
    </row>
    <row r="133" spans="1:17" ht="15" customHeight="1" x14ac:dyDescent="0.4">
      <c r="A133" s="28" t="s">
        <v>56</v>
      </c>
      <c r="B133" s="28" t="s">
        <v>56</v>
      </c>
      <c r="C133" s="28" t="s">
        <v>55</v>
      </c>
      <c r="D133" s="28" t="s">
        <v>56</v>
      </c>
      <c r="E133" s="28" t="s">
        <v>55</v>
      </c>
      <c r="F133" s="28" t="s">
        <v>56</v>
      </c>
      <c r="G133" s="28" t="s">
        <v>55</v>
      </c>
      <c r="H133" s="28" t="s">
        <v>56</v>
      </c>
      <c r="I133" s="28" t="s">
        <v>55</v>
      </c>
      <c r="J133" s="28" t="s">
        <v>56</v>
      </c>
      <c r="K133" s="28" t="s">
        <v>55</v>
      </c>
      <c r="L133" s="28" t="s">
        <v>56</v>
      </c>
      <c r="M133" s="28" t="s">
        <v>56</v>
      </c>
      <c r="N133" s="28" t="s">
        <v>55</v>
      </c>
      <c r="O133" s="29">
        <v>0.75063613231552162</v>
      </c>
      <c r="P133" s="31">
        <v>393</v>
      </c>
      <c r="Q133" s="31">
        <v>295</v>
      </c>
    </row>
    <row r="134" spans="1:17" ht="15" customHeight="1" x14ac:dyDescent="0.4">
      <c r="A134" s="28" t="s">
        <v>55</v>
      </c>
      <c r="B134" s="28" t="s">
        <v>56</v>
      </c>
      <c r="C134" s="28" t="s">
        <v>56</v>
      </c>
      <c r="D134" s="28" t="s">
        <v>55</v>
      </c>
      <c r="E134" s="28" t="s">
        <v>56</v>
      </c>
      <c r="F134" s="28" t="s">
        <v>56</v>
      </c>
      <c r="G134" s="28" t="s">
        <v>56</v>
      </c>
      <c r="H134" s="28" t="s">
        <v>55</v>
      </c>
      <c r="I134" s="28" t="s">
        <v>55</v>
      </c>
      <c r="J134" s="28" t="s">
        <v>56</v>
      </c>
      <c r="K134" s="28" t="s">
        <v>55</v>
      </c>
      <c r="L134" s="28" t="s">
        <v>56</v>
      </c>
      <c r="M134" s="28" t="s">
        <v>55</v>
      </c>
      <c r="N134" s="28" t="s">
        <v>56</v>
      </c>
      <c r="O134" s="29">
        <v>0.80297397769516732</v>
      </c>
      <c r="P134" s="31" t="s">
        <v>57</v>
      </c>
      <c r="Q134" s="31" t="s">
        <v>57</v>
      </c>
    </row>
    <row r="135" spans="1:17" ht="15" customHeight="1" x14ac:dyDescent="0.4">
      <c r="A135" s="28" t="s">
        <v>55</v>
      </c>
      <c r="B135" s="28" t="s">
        <v>56</v>
      </c>
      <c r="C135" s="28" t="s">
        <v>56</v>
      </c>
      <c r="D135" s="28" t="s">
        <v>55</v>
      </c>
      <c r="E135" s="28" t="s">
        <v>56</v>
      </c>
      <c r="F135" s="28" t="s">
        <v>56</v>
      </c>
      <c r="G135" s="28" t="s">
        <v>56</v>
      </c>
      <c r="H135" s="28" t="s">
        <v>55</v>
      </c>
      <c r="I135" s="28" t="s">
        <v>55</v>
      </c>
      <c r="J135" s="28" t="s">
        <v>56</v>
      </c>
      <c r="K135" s="28" t="s">
        <v>55</v>
      </c>
      <c r="L135" s="28" t="s">
        <v>56</v>
      </c>
      <c r="M135" s="28" t="s">
        <v>56</v>
      </c>
      <c r="N135" s="28" t="s">
        <v>55</v>
      </c>
      <c r="O135" s="29">
        <v>0.80300000000000005</v>
      </c>
      <c r="P135" s="31" t="s">
        <v>57</v>
      </c>
      <c r="Q135" s="31" t="s">
        <v>57</v>
      </c>
    </row>
    <row r="136" spans="1:17" ht="15" customHeight="1" x14ac:dyDescent="0.4">
      <c r="A136" s="28" t="s">
        <v>55</v>
      </c>
      <c r="B136" s="28" t="s">
        <v>56</v>
      </c>
      <c r="C136" s="28" t="s">
        <v>56</v>
      </c>
      <c r="D136" s="28" t="s">
        <v>56</v>
      </c>
      <c r="E136" s="28" t="s">
        <v>55</v>
      </c>
      <c r="F136" s="28" t="s">
        <v>56</v>
      </c>
      <c r="G136" s="28" t="s">
        <v>56</v>
      </c>
      <c r="H136" s="28" t="s">
        <v>55</v>
      </c>
      <c r="I136" s="28" t="s">
        <v>55</v>
      </c>
      <c r="J136" s="28" t="s">
        <v>56</v>
      </c>
      <c r="K136" s="28" t="s">
        <v>55</v>
      </c>
      <c r="L136" s="28" t="s">
        <v>56</v>
      </c>
      <c r="M136" s="28" t="s">
        <v>55</v>
      </c>
      <c r="N136" s="28" t="s">
        <v>56</v>
      </c>
      <c r="O136" s="29">
        <v>0.69973190348525471</v>
      </c>
      <c r="P136" s="31" t="s">
        <v>57</v>
      </c>
      <c r="Q136" s="31" t="s">
        <v>57</v>
      </c>
    </row>
    <row r="137" spans="1:17" ht="15" customHeight="1" x14ac:dyDescent="0.4">
      <c r="A137" s="28" t="s">
        <v>55</v>
      </c>
      <c r="B137" s="28" t="s">
        <v>56</v>
      </c>
      <c r="C137" s="28" t="s">
        <v>56</v>
      </c>
      <c r="D137" s="28" t="s">
        <v>56</v>
      </c>
      <c r="E137" s="28" t="s">
        <v>55</v>
      </c>
      <c r="F137" s="28" t="s">
        <v>56</v>
      </c>
      <c r="G137" s="28" t="s">
        <v>56</v>
      </c>
      <c r="H137" s="28" t="s">
        <v>55</v>
      </c>
      <c r="I137" s="28" t="s">
        <v>55</v>
      </c>
      <c r="J137" s="28" t="s">
        <v>56</v>
      </c>
      <c r="K137" s="28" t="s">
        <v>55</v>
      </c>
      <c r="L137" s="28" t="s">
        <v>56</v>
      </c>
      <c r="M137" s="28" t="s">
        <v>56</v>
      </c>
      <c r="N137" s="28" t="s">
        <v>55</v>
      </c>
      <c r="O137" s="29">
        <v>0.7243994943109987</v>
      </c>
      <c r="P137" s="31" t="s">
        <v>57</v>
      </c>
      <c r="Q137" s="31" t="s">
        <v>57</v>
      </c>
    </row>
    <row r="138" spans="1:17" ht="15" customHeight="1" x14ac:dyDescent="0.4">
      <c r="A138" s="28" t="s">
        <v>56</v>
      </c>
      <c r="B138" s="28" t="s">
        <v>55</v>
      </c>
      <c r="C138" s="28" t="s">
        <v>56</v>
      </c>
      <c r="D138" s="28" t="s">
        <v>55</v>
      </c>
      <c r="E138" s="28" t="s">
        <v>56</v>
      </c>
      <c r="F138" s="28" t="s">
        <v>56</v>
      </c>
      <c r="G138" s="28" t="s">
        <v>56</v>
      </c>
      <c r="H138" s="28" t="s">
        <v>55</v>
      </c>
      <c r="I138" s="28" t="s">
        <v>55</v>
      </c>
      <c r="J138" s="28" t="s">
        <v>56</v>
      </c>
      <c r="K138" s="28" t="s">
        <v>55</v>
      </c>
      <c r="L138" s="28" t="s">
        <v>56</v>
      </c>
      <c r="M138" s="28" t="s">
        <v>55</v>
      </c>
      <c r="N138" s="28" t="s">
        <v>56</v>
      </c>
      <c r="O138" s="29">
        <v>0.68523122824465443</v>
      </c>
      <c r="P138" s="31" t="s">
        <v>57</v>
      </c>
      <c r="Q138" s="31">
        <v>16</v>
      </c>
    </row>
    <row r="139" spans="1:17" ht="15" customHeight="1" x14ac:dyDescent="0.4">
      <c r="A139" s="28" t="s">
        <v>56</v>
      </c>
      <c r="B139" s="28" t="s">
        <v>55</v>
      </c>
      <c r="C139" s="28" t="s">
        <v>56</v>
      </c>
      <c r="D139" s="28" t="s">
        <v>55</v>
      </c>
      <c r="E139" s="28" t="s">
        <v>56</v>
      </c>
      <c r="F139" s="28" t="s">
        <v>56</v>
      </c>
      <c r="G139" s="28" t="s">
        <v>56</v>
      </c>
      <c r="H139" s="28" t="s">
        <v>55</v>
      </c>
      <c r="I139" s="28" t="s">
        <v>55</v>
      </c>
      <c r="J139" s="28" t="s">
        <v>56</v>
      </c>
      <c r="K139" s="28" t="s">
        <v>55</v>
      </c>
      <c r="L139" s="28" t="s">
        <v>56</v>
      </c>
      <c r="M139" s="28" t="s">
        <v>56</v>
      </c>
      <c r="N139" s="28" t="s">
        <v>55</v>
      </c>
      <c r="O139" s="29">
        <v>0.60791308577914704</v>
      </c>
      <c r="P139" s="31" t="s">
        <v>57</v>
      </c>
      <c r="Q139" s="31" t="s">
        <v>57</v>
      </c>
    </row>
    <row r="140" spans="1:17" ht="15" customHeight="1" x14ac:dyDescent="0.4">
      <c r="A140" s="28" t="s">
        <v>56</v>
      </c>
      <c r="B140" s="28" t="s">
        <v>55</v>
      </c>
      <c r="C140" s="28" t="s">
        <v>56</v>
      </c>
      <c r="D140" s="28" t="s">
        <v>56</v>
      </c>
      <c r="E140" s="28" t="s">
        <v>55</v>
      </c>
      <c r="F140" s="28" t="s">
        <v>56</v>
      </c>
      <c r="G140" s="28" t="s">
        <v>56</v>
      </c>
      <c r="H140" s="28" t="s">
        <v>55</v>
      </c>
      <c r="I140" s="28" t="s">
        <v>55</v>
      </c>
      <c r="J140" s="28" t="s">
        <v>56</v>
      </c>
      <c r="K140" s="28" t="s">
        <v>55</v>
      </c>
      <c r="L140" s="28" t="s">
        <v>56</v>
      </c>
      <c r="M140" s="28" t="s">
        <v>55</v>
      </c>
      <c r="N140" s="28" t="s">
        <v>56</v>
      </c>
      <c r="O140" s="29">
        <v>0.5883758738416518</v>
      </c>
      <c r="P140" s="31">
        <v>120</v>
      </c>
      <c r="Q140" s="31">
        <v>89</v>
      </c>
    </row>
    <row r="141" spans="1:17" ht="15" customHeight="1" x14ac:dyDescent="0.4">
      <c r="A141" s="28" t="s">
        <v>56</v>
      </c>
      <c r="B141" s="28" t="s">
        <v>55</v>
      </c>
      <c r="C141" s="28" t="s">
        <v>56</v>
      </c>
      <c r="D141" s="28" t="s">
        <v>56</v>
      </c>
      <c r="E141" s="28" t="s">
        <v>55</v>
      </c>
      <c r="F141" s="28" t="s">
        <v>56</v>
      </c>
      <c r="G141" s="28" t="s">
        <v>56</v>
      </c>
      <c r="H141" s="28" t="s">
        <v>55</v>
      </c>
      <c r="I141" s="28" t="s">
        <v>55</v>
      </c>
      <c r="J141" s="28" t="s">
        <v>56</v>
      </c>
      <c r="K141" s="28" t="s">
        <v>55</v>
      </c>
      <c r="L141" s="28" t="s">
        <v>56</v>
      </c>
      <c r="M141" s="28" t="s">
        <v>56</v>
      </c>
      <c r="N141" s="28" t="s">
        <v>55</v>
      </c>
      <c r="O141" s="29">
        <v>0.56611889758880884</v>
      </c>
      <c r="P141" s="31">
        <v>172</v>
      </c>
      <c r="Q141" s="31">
        <v>134</v>
      </c>
    </row>
    <row r="142" spans="1:17" ht="15" customHeight="1" x14ac:dyDescent="0.4">
      <c r="A142" s="28" t="s">
        <v>56</v>
      </c>
      <c r="B142" s="28" t="s">
        <v>56</v>
      </c>
      <c r="C142" s="28" t="s">
        <v>55</v>
      </c>
      <c r="D142" s="28" t="s">
        <v>55</v>
      </c>
      <c r="E142" s="28" t="s">
        <v>56</v>
      </c>
      <c r="F142" s="28" t="s">
        <v>56</v>
      </c>
      <c r="G142" s="28" t="s">
        <v>56</v>
      </c>
      <c r="H142" s="28" t="s">
        <v>55</v>
      </c>
      <c r="I142" s="28" t="s">
        <v>55</v>
      </c>
      <c r="J142" s="28" t="s">
        <v>56</v>
      </c>
      <c r="K142" s="28" t="s">
        <v>55</v>
      </c>
      <c r="L142" s="28" t="s">
        <v>56</v>
      </c>
      <c r="M142" s="28" t="s">
        <v>55</v>
      </c>
      <c r="N142" s="28" t="s">
        <v>56</v>
      </c>
      <c r="O142" s="29">
        <v>0.632996632996633</v>
      </c>
      <c r="P142" s="31" t="s">
        <v>57</v>
      </c>
      <c r="Q142" s="31" t="s">
        <v>57</v>
      </c>
    </row>
    <row r="143" spans="1:17" ht="15" customHeight="1" x14ac:dyDescent="0.4">
      <c r="A143" s="28" t="s">
        <v>56</v>
      </c>
      <c r="B143" s="28" t="s">
        <v>56</v>
      </c>
      <c r="C143" s="28" t="s">
        <v>55</v>
      </c>
      <c r="D143" s="28" t="s">
        <v>55</v>
      </c>
      <c r="E143" s="28" t="s">
        <v>56</v>
      </c>
      <c r="F143" s="28" t="s">
        <v>56</v>
      </c>
      <c r="G143" s="28" t="s">
        <v>56</v>
      </c>
      <c r="H143" s="28" t="s">
        <v>55</v>
      </c>
      <c r="I143" s="28" t="s">
        <v>55</v>
      </c>
      <c r="J143" s="28" t="s">
        <v>56</v>
      </c>
      <c r="K143" s="28" t="s">
        <v>55</v>
      </c>
      <c r="L143" s="28" t="s">
        <v>56</v>
      </c>
      <c r="M143" s="28" t="s">
        <v>56</v>
      </c>
      <c r="N143" s="28" t="s">
        <v>55</v>
      </c>
      <c r="O143" s="29">
        <v>0.58101529902642557</v>
      </c>
      <c r="P143" s="31" t="s">
        <v>57</v>
      </c>
      <c r="Q143" s="31" t="s">
        <v>57</v>
      </c>
    </row>
    <row r="144" spans="1:17" ht="15" customHeight="1" x14ac:dyDescent="0.4">
      <c r="A144" s="28" t="s">
        <v>56</v>
      </c>
      <c r="B144" s="28" t="s">
        <v>56</v>
      </c>
      <c r="C144" s="28" t="s">
        <v>55</v>
      </c>
      <c r="D144" s="28" t="s">
        <v>56</v>
      </c>
      <c r="E144" s="28" t="s">
        <v>55</v>
      </c>
      <c r="F144" s="28" t="s">
        <v>56</v>
      </c>
      <c r="G144" s="28" t="s">
        <v>56</v>
      </c>
      <c r="H144" s="28" t="s">
        <v>55</v>
      </c>
      <c r="I144" s="28" t="s">
        <v>55</v>
      </c>
      <c r="J144" s="28" t="s">
        <v>56</v>
      </c>
      <c r="K144" s="28" t="s">
        <v>55</v>
      </c>
      <c r="L144" s="28" t="s">
        <v>56</v>
      </c>
      <c r="M144" s="28" t="s">
        <v>55</v>
      </c>
      <c r="N144" s="28" t="s">
        <v>56</v>
      </c>
      <c r="O144" s="29">
        <v>0.81208053691275173</v>
      </c>
      <c r="P144" s="31" t="s">
        <v>57</v>
      </c>
      <c r="Q144" s="31">
        <v>23</v>
      </c>
    </row>
    <row r="145" spans="1:18" ht="15" customHeight="1" x14ac:dyDescent="0.4">
      <c r="A145" s="28" t="s">
        <v>56</v>
      </c>
      <c r="B145" s="28" t="s">
        <v>56</v>
      </c>
      <c r="C145" s="28" t="s">
        <v>55</v>
      </c>
      <c r="D145" s="28" t="s">
        <v>56</v>
      </c>
      <c r="E145" s="28" t="s">
        <v>55</v>
      </c>
      <c r="F145" s="28" t="s">
        <v>56</v>
      </c>
      <c r="G145" s="28" t="s">
        <v>56</v>
      </c>
      <c r="H145" s="28" t="s">
        <v>55</v>
      </c>
      <c r="I145" s="28" t="s">
        <v>55</v>
      </c>
      <c r="J145" s="28" t="s">
        <v>56</v>
      </c>
      <c r="K145" s="28" t="s">
        <v>55</v>
      </c>
      <c r="L145" s="28" t="s">
        <v>56</v>
      </c>
      <c r="M145" s="28" t="s">
        <v>56</v>
      </c>
      <c r="N145" s="28" t="s">
        <v>55</v>
      </c>
      <c r="O145" s="29">
        <v>0.81208053691275173</v>
      </c>
      <c r="P145" s="31">
        <v>149</v>
      </c>
      <c r="Q145" s="31">
        <v>121</v>
      </c>
    </row>
    <row r="146" spans="1:18" ht="15" customHeight="1" x14ac:dyDescent="0.4">
      <c r="A146" s="28" t="s">
        <v>55</v>
      </c>
      <c r="B146" s="28" t="s">
        <v>56</v>
      </c>
      <c r="C146" s="28" t="s">
        <v>56</v>
      </c>
      <c r="D146" s="28" t="s">
        <v>55</v>
      </c>
      <c r="E146" s="28" t="s">
        <v>56</v>
      </c>
      <c r="F146" s="28" t="s">
        <v>55</v>
      </c>
      <c r="G146" s="28" t="s">
        <v>56</v>
      </c>
      <c r="H146" s="28" t="s">
        <v>56</v>
      </c>
      <c r="I146" s="28" t="s">
        <v>56</v>
      </c>
      <c r="J146" s="28" t="s">
        <v>55</v>
      </c>
      <c r="K146" s="28" t="s">
        <v>56</v>
      </c>
      <c r="L146" s="28" t="s">
        <v>55</v>
      </c>
      <c r="M146" s="28" t="s">
        <v>55</v>
      </c>
      <c r="N146" s="28" t="s">
        <v>56</v>
      </c>
      <c r="O146" s="29">
        <v>0.17093570308416101</v>
      </c>
      <c r="P146" s="31">
        <v>1913</v>
      </c>
      <c r="Q146" s="31">
        <v>327</v>
      </c>
    </row>
    <row r="147" spans="1:18" ht="15" customHeight="1" x14ac:dyDescent="0.4">
      <c r="A147" s="28" t="s">
        <v>55</v>
      </c>
      <c r="B147" s="28" t="s">
        <v>56</v>
      </c>
      <c r="C147" s="28" t="s">
        <v>56</v>
      </c>
      <c r="D147" s="28" t="s">
        <v>55</v>
      </c>
      <c r="E147" s="28" t="s">
        <v>56</v>
      </c>
      <c r="F147" s="28" t="s">
        <v>55</v>
      </c>
      <c r="G147" s="28" t="s">
        <v>56</v>
      </c>
      <c r="H147" s="28" t="s">
        <v>56</v>
      </c>
      <c r="I147" s="28" t="s">
        <v>56</v>
      </c>
      <c r="J147" s="28" t="s">
        <v>55</v>
      </c>
      <c r="K147" s="28" t="s">
        <v>56</v>
      </c>
      <c r="L147" s="28" t="s">
        <v>55</v>
      </c>
      <c r="M147" s="28" t="s">
        <v>56</v>
      </c>
      <c r="N147" s="28" t="s">
        <v>55</v>
      </c>
      <c r="O147" s="29">
        <v>0.15901060070671377</v>
      </c>
      <c r="P147" s="31">
        <v>283</v>
      </c>
      <c r="Q147" s="31">
        <v>45</v>
      </c>
    </row>
    <row r="148" spans="1:18" ht="15" customHeight="1" x14ac:dyDescent="0.4">
      <c r="A148" s="28" t="s">
        <v>55</v>
      </c>
      <c r="B148" s="28" t="s">
        <v>56</v>
      </c>
      <c r="C148" s="28" t="s">
        <v>56</v>
      </c>
      <c r="D148" s="28" t="s">
        <v>56</v>
      </c>
      <c r="E148" s="28" t="s">
        <v>55</v>
      </c>
      <c r="F148" s="28" t="s">
        <v>55</v>
      </c>
      <c r="G148" s="28" t="s">
        <v>56</v>
      </c>
      <c r="H148" s="28" t="s">
        <v>56</v>
      </c>
      <c r="I148" s="28" t="s">
        <v>56</v>
      </c>
      <c r="J148" s="28" t="s">
        <v>55</v>
      </c>
      <c r="K148" s="28" t="s">
        <v>56</v>
      </c>
      <c r="L148" s="28" t="s">
        <v>55</v>
      </c>
      <c r="M148" s="28" t="s">
        <v>55</v>
      </c>
      <c r="N148" s="28" t="s">
        <v>56</v>
      </c>
      <c r="O148" s="29">
        <v>9.7875749767220285E-2</v>
      </c>
      <c r="P148" s="31">
        <v>46181</v>
      </c>
      <c r="Q148" s="31">
        <v>4520</v>
      </c>
    </row>
    <row r="149" spans="1:18" ht="15" customHeight="1" x14ac:dyDescent="0.4">
      <c r="A149" s="28" t="s">
        <v>55</v>
      </c>
      <c r="B149" s="28" t="s">
        <v>56</v>
      </c>
      <c r="C149" s="28" t="s">
        <v>56</v>
      </c>
      <c r="D149" s="28" t="s">
        <v>56</v>
      </c>
      <c r="E149" s="28" t="s">
        <v>55</v>
      </c>
      <c r="F149" s="28" t="s">
        <v>55</v>
      </c>
      <c r="G149" s="28" t="s">
        <v>56</v>
      </c>
      <c r="H149" s="28" t="s">
        <v>56</v>
      </c>
      <c r="I149" s="28" t="s">
        <v>56</v>
      </c>
      <c r="J149" s="28" t="s">
        <v>55</v>
      </c>
      <c r="K149" s="28" t="s">
        <v>56</v>
      </c>
      <c r="L149" s="28" t="s">
        <v>55</v>
      </c>
      <c r="M149" s="28" t="s">
        <v>56</v>
      </c>
      <c r="N149" s="28" t="s">
        <v>55</v>
      </c>
      <c r="O149" s="29">
        <v>0.1045016077170418</v>
      </c>
      <c r="P149" s="31">
        <v>8086</v>
      </c>
      <c r="Q149" s="31">
        <v>845</v>
      </c>
      <c r="R149" s="3"/>
    </row>
    <row r="150" spans="1:18" ht="15" customHeight="1" x14ac:dyDescent="0.4">
      <c r="A150" s="28" t="s">
        <v>56</v>
      </c>
      <c r="B150" s="28" t="s">
        <v>55</v>
      </c>
      <c r="C150" s="28" t="s">
        <v>56</v>
      </c>
      <c r="D150" s="28" t="s">
        <v>55</v>
      </c>
      <c r="E150" s="28" t="s">
        <v>56</v>
      </c>
      <c r="F150" s="28" t="s">
        <v>55</v>
      </c>
      <c r="G150" s="28" t="s">
        <v>56</v>
      </c>
      <c r="H150" s="28" t="s">
        <v>56</v>
      </c>
      <c r="I150" s="28" t="s">
        <v>56</v>
      </c>
      <c r="J150" s="28" t="s">
        <v>55</v>
      </c>
      <c r="K150" s="28" t="s">
        <v>56</v>
      </c>
      <c r="L150" s="28" t="s">
        <v>55</v>
      </c>
      <c r="M150" s="28" t="s">
        <v>55</v>
      </c>
      <c r="N150" s="28" t="s">
        <v>56</v>
      </c>
      <c r="O150" s="29">
        <v>0.16251741930624081</v>
      </c>
      <c r="P150" s="31">
        <v>26551</v>
      </c>
      <c r="Q150" s="31">
        <v>4315</v>
      </c>
      <c r="R150" s="3"/>
    </row>
    <row r="151" spans="1:18" ht="15" customHeight="1" x14ac:dyDescent="0.4">
      <c r="A151" s="28" t="s">
        <v>56</v>
      </c>
      <c r="B151" s="28" t="s">
        <v>55</v>
      </c>
      <c r="C151" s="28" t="s">
        <v>56</v>
      </c>
      <c r="D151" s="28" t="s">
        <v>55</v>
      </c>
      <c r="E151" s="28" t="s">
        <v>56</v>
      </c>
      <c r="F151" s="28" t="s">
        <v>55</v>
      </c>
      <c r="G151" s="28" t="s">
        <v>56</v>
      </c>
      <c r="H151" s="28" t="s">
        <v>56</v>
      </c>
      <c r="I151" s="28" t="s">
        <v>56</v>
      </c>
      <c r="J151" s="28" t="s">
        <v>55</v>
      </c>
      <c r="K151" s="28" t="s">
        <v>56</v>
      </c>
      <c r="L151" s="28" t="s">
        <v>55</v>
      </c>
      <c r="M151" s="28" t="s">
        <v>56</v>
      </c>
      <c r="N151" s="28" t="s">
        <v>55</v>
      </c>
      <c r="O151" s="29">
        <v>0.12919274594768096</v>
      </c>
      <c r="P151" s="31">
        <v>6231</v>
      </c>
      <c r="Q151" s="31">
        <v>805</v>
      </c>
    </row>
    <row r="152" spans="1:18" ht="15" customHeight="1" x14ac:dyDescent="0.4">
      <c r="A152" s="28" t="s">
        <v>56</v>
      </c>
      <c r="B152" s="28" t="s">
        <v>55</v>
      </c>
      <c r="C152" s="28" t="s">
        <v>56</v>
      </c>
      <c r="D152" s="28" t="s">
        <v>56</v>
      </c>
      <c r="E152" s="28" t="s">
        <v>55</v>
      </c>
      <c r="F152" s="28" t="s">
        <v>55</v>
      </c>
      <c r="G152" s="28" t="s">
        <v>56</v>
      </c>
      <c r="H152" s="28" t="s">
        <v>56</v>
      </c>
      <c r="I152" s="28" t="s">
        <v>56</v>
      </c>
      <c r="J152" s="28" t="s">
        <v>55</v>
      </c>
      <c r="K152" s="28" t="s">
        <v>56</v>
      </c>
      <c r="L152" s="28" t="s">
        <v>55</v>
      </c>
      <c r="M152" s="28" t="s">
        <v>55</v>
      </c>
      <c r="N152" s="28" t="s">
        <v>56</v>
      </c>
      <c r="O152" s="29">
        <v>0.10082931078285486</v>
      </c>
      <c r="P152" s="31">
        <v>551060</v>
      </c>
      <c r="Q152" s="31">
        <v>55563</v>
      </c>
      <c r="R152" s="3"/>
    </row>
    <row r="153" spans="1:18" ht="15" customHeight="1" x14ac:dyDescent="0.4">
      <c r="A153" s="28" t="s">
        <v>56</v>
      </c>
      <c r="B153" s="28" t="s">
        <v>55</v>
      </c>
      <c r="C153" s="28" t="s">
        <v>56</v>
      </c>
      <c r="D153" s="28" t="s">
        <v>56</v>
      </c>
      <c r="E153" s="28" t="s">
        <v>55</v>
      </c>
      <c r="F153" s="28" t="s">
        <v>55</v>
      </c>
      <c r="G153" s="28" t="s">
        <v>56</v>
      </c>
      <c r="H153" s="28" t="s">
        <v>56</v>
      </c>
      <c r="I153" s="28" t="s">
        <v>56</v>
      </c>
      <c r="J153" s="28" t="s">
        <v>55</v>
      </c>
      <c r="K153" s="28" t="s">
        <v>56</v>
      </c>
      <c r="L153" s="28" t="s">
        <v>55</v>
      </c>
      <c r="M153" s="28" t="s">
        <v>56</v>
      </c>
      <c r="N153" s="28" t="s">
        <v>55</v>
      </c>
      <c r="O153" s="29">
        <v>8.761420174702042E-2</v>
      </c>
      <c r="P153" s="31">
        <v>159586</v>
      </c>
      <c r="Q153" s="31">
        <v>13982</v>
      </c>
    </row>
    <row r="154" spans="1:18" ht="15" customHeight="1" x14ac:dyDescent="0.4">
      <c r="A154" s="28" t="s">
        <v>56</v>
      </c>
      <c r="B154" s="28" t="s">
        <v>56</v>
      </c>
      <c r="C154" s="28" t="s">
        <v>55</v>
      </c>
      <c r="D154" s="28" t="s">
        <v>55</v>
      </c>
      <c r="E154" s="28" t="s">
        <v>56</v>
      </c>
      <c r="F154" s="28" t="s">
        <v>55</v>
      </c>
      <c r="G154" s="28" t="s">
        <v>56</v>
      </c>
      <c r="H154" s="28" t="s">
        <v>56</v>
      </c>
      <c r="I154" s="28" t="s">
        <v>56</v>
      </c>
      <c r="J154" s="28" t="s">
        <v>55</v>
      </c>
      <c r="K154" s="28" t="s">
        <v>56</v>
      </c>
      <c r="L154" s="28" t="s">
        <v>55</v>
      </c>
      <c r="M154" s="28" t="s">
        <v>55</v>
      </c>
      <c r="N154" s="28" t="s">
        <v>56</v>
      </c>
      <c r="O154" s="29">
        <v>0.21731321839080459</v>
      </c>
      <c r="P154" s="31">
        <v>2784</v>
      </c>
      <c r="Q154" s="31">
        <v>605</v>
      </c>
      <c r="R154" s="3"/>
    </row>
    <row r="155" spans="1:18" ht="15" customHeight="1" x14ac:dyDescent="0.4">
      <c r="A155" s="28" t="s">
        <v>56</v>
      </c>
      <c r="B155" s="28" t="s">
        <v>56</v>
      </c>
      <c r="C155" s="28" t="s">
        <v>55</v>
      </c>
      <c r="D155" s="28" t="s">
        <v>55</v>
      </c>
      <c r="E155" s="28" t="s">
        <v>56</v>
      </c>
      <c r="F155" s="28" t="s">
        <v>55</v>
      </c>
      <c r="G155" s="28" t="s">
        <v>56</v>
      </c>
      <c r="H155" s="28" t="s">
        <v>56</v>
      </c>
      <c r="I155" s="28" t="s">
        <v>56</v>
      </c>
      <c r="J155" s="28" t="s">
        <v>55</v>
      </c>
      <c r="K155" s="28" t="s">
        <v>56</v>
      </c>
      <c r="L155" s="28" t="s">
        <v>55</v>
      </c>
      <c r="M155" s="28" t="s">
        <v>56</v>
      </c>
      <c r="N155" s="28" t="s">
        <v>55</v>
      </c>
      <c r="O155" s="29">
        <v>0.16018099547511314</v>
      </c>
      <c r="P155" s="31">
        <v>1105</v>
      </c>
      <c r="Q155" s="31">
        <v>177</v>
      </c>
    </row>
    <row r="156" spans="1:18" ht="15" customHeight="1" x14ac:dyDescent="0.4">
      <c r="A156" s="28" t="s">
        <v>56</v>
      </c>
      <c r="B156" s="28" t="s">
        <v>56</v>
      </c>
      <c r="C156" s="28" t="s">
        <v>55</v>
      </c>
      <c r="D156" s="28" t="s">
        <v>56</v>
      </c>
      <c r="E156" s="28" t="s">
        <v>55</v>
      </c>
      <c r="F156" s="28" t="s">
        <v>55</v>
      </c>
      <c r="G156" s="28" t="s">
        <v>56</v>
      </c>
      <c r="H156" s="28" t="s">
        <v>56</v>
      </c>
      <c r="I156" s="28" t="s">
        <v>56</v>
      </c>
      <c r="J156" s="28" t="s">
        <v>55</v>
      </c>
      <c r="K156" s="28" t="s">
        <v>56</v>
      </c>
      <c r="L156" s="28" t="s">
        <v>55</v>
      </c>
      <c r="M156" s="28" t="s">
        <v>55</v>
      </c>
      <c r="N156" s="28" t="s">
        <v>56</v>
      </c>
      <c r="O156" s="29">
        <v>0.15592759621918822</v>
      </c>
      <c r="P156" s="31">
        <v>64748</v>
      </c>
      <c r="Q156" s="31">
        <v>10096</v>
      </c>
      <c r="R156" s="3"/>
    </row>
    <row r="157" spans="1:18" ht="15" customHeight="1" x14ac:dyDescent="0.4">
      <c r="A157" s="28" t="s">
        <v>56</v>
      </c>
      <c r="B157" s="28" t="s">
        <v>56</v>
      </c>
      <c r="C157" s="28" t="s">
        <v>55</v>
      </c>
      <c r="D157" s="28" t="s">
        <v>56</v>
      </c>
      <c r="E157" s="28" t="s">
        <v>55</v>
      </c>
      <c r="F157" s="28" t="s">
        <v>55</v>
      </c>
      <c r="G157" s="28" t="s">
        <v>56</v>
      </c>
      <c r="H157" s="28" t="s">
        <v>56</v>
      </c>
      <c r="I157" s="28" t="s">
        <v>56</v>
      </c>
      <c r="J157" s="28" t="s">
        <v>55</v>
      </c>
      <c r="K157" s="28" t="s">
        <v>56</v>
      </c>
      <c r="L157" s="28" t="s">
        <v>55</v>
      </c>
      <c r="M157" s="28" t="s">
        <v>56</v>
      </c>
      <c r="N157" s="28" t="s">
        <v>55</v>
      </c>
      <c r="O157" s="29">
        <v>0.11938542227003765</v>
      </c>
      <c r="P157" s="31">
        <v>29744</v>
      </c>
      <c r="Q157" s="31">
        <v>3551</v>
      </c>
    </row>
    <row r="158" spans="1:18" ht="15" customHeight="1" x14ac:dyDescent="0.4">
      <c r="A158" s="28" t="s">
        <v>55</v>
      </c>
      <c r="B158" s="28" t="s">
        <v>56</v>
      </c>
      <c r="C158" s="28" t="s">
        <v>56</v>
      </c>
      <c r="D158" s="28" t="s">
        <v>55</v>
      </c>
      <c r="E158" s="28" t="s">
        <v>56</v>
      </c>
      <c r="F158" s="28" t="s">
        <v>56</v>
      </c>
      <c r="G158" s="28" t="s">
        <v>55</v>
      </c>
      <c r="H158" s="28" t="s">
        <v>56</v>
      </c>
      <c r="I158" s="28" t="s">
        <v>56</v>
      </c>
      <c r="J158" s="28" t="s">
        <v>55</v>
      </c>
      <c r="K158" s="28" t="s">
        <v>56</v>
      </c>
      <c r="L158" s="28" t="s">
        <v>55</v>
      </c>
      <c r="M158" s="28" t="s">
        <v>55</v>
      </c>
      <c r="N158" s="28" t="s">
        <v>56</v>
      </c>
      <c r="O158" s="29">
        <v>0.25268817204301075</v>
      </c>
      <c r="P158" s="31">
        <v>186</v>
      </c>
      <c r="Q158" s="31">
        <v>47</v>
      </c>
      <c r="R158" s="3"/>
    </row>
    <row r="159" spans="1:18" ht="15" customHeight="1" x14ac:dyDescent="0.4">
      <c r="A159" s="28" t="s">
        <v>55</v>
      </c>
      <c r="B159" s="28" t="s">
        <v>56</v>
      </c>
      <c r="C159" s="28" t="s">
        <v>56</v>
      </c>
      <c r="D159" s="28" t="s">
        <v>55</v>
      </c>
      <c r="E159" s="28" t="s">
        <v>56</v>
      </c>
      <c r="F159" s="28" t="s">
        <v>56</v>
      </c>
      <c r="G159" s="28" t="s">
        <v>55</v>
      </c>
      <c r="H159" s="28" t="s">
        <v>56</v>
      </c>
      <c r="I159" s="28" t="s">
        <v>56</v>
      </c>
      <c r="J159" s="28" t="s">
        <v>55</v>
      </c>
      <c r="K159" s="28" t="s">
        <v>56</v>
      </c>
      <c r="L159" s="28" t="s">
        <v>55</v>
      </c>
      <c r="M159" s="28" t="s">
        <v>56</v>
      </c>
      <c r="N159" s="28" t="s">
        <v>55</v>
      </c>
      <c r="O159" s="29">
        <v>0.25268817204301075</v>
      </c>
      <c r="P159" s="31" t="s">
        <v>57</v>
      </c>
      <c r="Q159" s="31" t="s">
        <v>57</v>
      </c>
      <c r="R159" s="3"/>
    </row>
    <row r="160" spans="1:18" ht="15" customHeight="1" x14ac:dyDescent="0.4">
      <c r="A160" s="28" t="s">
        <v>55</v>
      </c>
      <c r="B160" s="28" t="s">
        <v>56</v>
      </c>
      <c r="C160" s="28" t="s">
        <v>56</v>
      </c>
      <c r="D160" s="28" t="s">
        <v>56</v>
      </c>
      <c r="E160" s="28" t="s">
        <v>55</v>
      </c>
      <c r="F160" s="28" t="s">
        <v>56</v>
      </c>
      <c r="G160" s="28" t="s">
        <v>55</v>
      </c>
      <c r="H160" s="28" t="s">
        <v>56</v>
      </c>
      <c r="I160" s="28" t="s">
        <v>56</v>
      </c>
      <c r="J160" s="28" t="s">
        <v>55</v>
      </c>
      <c r="K160" s="28" t="s">
        <v>56</v>
      </c>
      <c r="L160" s="28" t="s">
        <v>55</v>
      </c>
      <c r="M160" s="28" t="s">
        <v>55</v>
      </c>
      <c r="N160" s="28" t="s">
        <v>56</v>
      </c>
      <c r="O160" s="29">
        <v>0.13289036544850499</v>
      </c>
      <c r="P160" s="31">
        <v>4214</v>
      </c>
      <c r="Q160" s="31">
        <v>560</v>
      </c>
      <c r="R160" s="3"/>
    </row>
    <row r="161" spans="1:18" ht="15" customHeight="1" x14ac:dyDescent="0.4">
      <c r="A161" s="28" t="s">
        <v>55</v>
      </c>
      <c r="B161" s="28" t="s">
        <v>56</v>
      </c>
      <c r="C161" s="28" t="s">
        <v>56</v>
      </c>
      <c r="D161" s="28" t="s">
        <v>56</v>
      </c>
      <c r="E161" s="28" t="s">
        <v>55</v>
      </c>
      <c r="F161" s="28" t="s">
        <v>56</v>
      </c>
      <c r="G161" s="28" t="s">
        <v>55</v>
      </c>
      <c r="H161" s="28" t="s">
        <v>56</v>
      </c>
      <c r="I161" s="28" t="s">
        <v>56</v>
      </c>
      <c r="J161" s="28" t="s">
        <v>55</v>
      </c>
      <c r="K161" s="28" t="s">
        <v>56</v>
      </c>
      <c r="L161" s="28" t="s">
        <v>55</v>
      </c>
      <c r="M161" s="28" t="s">
        <v>56</v>
      </c>
      <c r="N161" s="28" t="s">
        <v>55</v>
      </c>
      <c r="O161" s="29">
        <v>0.13447432762836187</v>
      </c>
      <c r="P161" s="31">
        <v>409</v>
      </c>
      <c r="Q161" s="31">
        <v>55</v>
      </c>
    </row>
    <row r="162" spans="1:18" ht="15" customHeight="1" x14ac:dyDescent="0.4">
      <c r="A162" s="28" t="s">
        <v>56</v>
      </c>
      <c r="B162" s="28" t="s">
        <v>55</v>
      </c>
      <c r="C162" s="28" t="s">
        <v>56</v>
      </c>
      <c r="D162" s="28" t="s">
        <v>55</v>
      </c>
      <c r="E162" s="28" t="s">
        <v>56</v>
      </c>
      <c r="F162" s="28" t="s">
        <v>56</v>
      </c>
      <c r="G162" s="28" t="s">
        <v>55</v>
      </c>
      <c r="H162" s="28" t="s">
        <v>56</v>
      </c>
      <c r="I162" s="28" t="s">
        <v>56</v>
      </c>
      <c r="J162" s="28" t="s">
        <v>55</v>
      </c>
      <c r="K162" s="28" t="s">
        <v>56</v>
      </c>
      <c r="L162" s="28" t="s">
        <v>55</v>
      </c>
      <c r="M162" s="28" t="s">
        <v>55</v>
      </c>
      <c r="N162" s="28" t="s">
        <v>56</v>
      </c>
      <c r="O162" s="29">
        <v>0.22917971195992487</v>
      </c>
      <c r="P162" s="31">
        <v>4791</v>
      </c>
      <c r="Q162" s="31">
        <v>1098</v>
      </c>
      <c r="R162" s="3"/>
    </row>
    <row r="163" spans="1:18" ht="15" customHeight="1" x14ac:dyDescent="0.4">
      <c r="A163" s="28" t="s">
        <v>56</v>
      </c>
      <c r="B163" s="28" t="s">
        <v>55</v>
      </c>
      <c r="C163" s="28" t="s">
        <v>56</v>
      </c>
      <c r="D163" s="28" t="s">
        <v>55</v>
      </c>
      <c r="E163" s="28" t="s">
        <v>56</v>
      </c>
      <c r="F163" s="28" t="s">
        <v>56</v>
      </c>
      <c r="G163" s="28" t="s">
        <v>55</v>
      </c>
      <c r="H163" s="28" t="s">
        <v>56</v>
      </c>
      <c r="I163" s="28" t="s">
        <v>56</v>
      </c>
      <c r="J163" s="28" t="s">
        <v>55</v>
      </c>
      <c r="K163" s="28" t="s">
        <v>56</v>
      </c>
      <c r="L163" s="28" t="s">
        <v>55</v>
      </c>
      <c r="M163" s="28" t="s">
        <v>56</v>
      </c>
      <c r="N163" s="28" t="s">
        <v>55</v>
      </c>
      <c r="O163" s="29">
        <v>0.22929936305732485</v>
      </c>
      <c r="P163" s="31">
        <v>471</v>
      </c>
      <c r="Q163" s="31">
        <v>108</v>
      </c>
      <c r="R163" s="3"/>
    </row>
    <row r="164" spans="1:18" ht="15" customHeight="1" x14ac:dyDescent="0.4">
      <c r="A164" s="28" t="s">
        <v>56</v>
      </c>
      <c r="B164" s="28" t="s">
        <v>55</v>
      </c>
      <c r="C164" s="28" t="s">
        <v>56</v>
      </c>
      <c r="D164" s="28" t="s">
        <v>56</v>
      </c>
      <c r="E164" s="28" t="s">
        <v>55</v>
      </c>
      <c r="F164" s="28" t="s">
        <v>56</v>
      </c>
      <c r="G164" s="28" t="s">
        <v>55</v>
      </c>
      <c r="H164" s="28" t="s">
        <v>56</v>
      </c>
      <c r="I164" s="28" t="s">
        <v>56</v>
      </c>
      <c r="J164" s="28" t="s">
        <v>55</v>
      </c>
      <c r="K164" s="28" t="s">
        <v>56</v>
      </c>
      <c r="L164" s="28" t="s">
        <v>55</v>
      </c>
      <c r="M164" s="28" t="s">
        <v>55</v>
      </c>
      <c r="N164" s="28" t="s">
        <v>56</v>
      </c>
      <c r="O164" s="29">
        <v>0.14060786106032908</v>
      </c>
      <c r="P164" s="31">
        <v>87520</v>
      </c>
      <c r="Q164" s="31">
        <v>12306</v>
      </c>
      <c r="R164" s="3"/>
    </row>
    <row r="165" spans="1:18" ht="15" customHeight="1" x14ac:dyDescent="0.4">
      <c r="A165" s="28" t="s">
        <v>56</v>
      </c>
      <c r="B165" s="28" t="s">
        <v>55</v>
      </c>
      <c r="C165" s="28" t="s">
        <v>56</v>
      </c>
      <c r="D165" s="28" t="s">
        <v>56</v>
      </c>
      <c r="E165" s="28" t="s">
        <v>55</v>
      </c>
      <c r="F165" s="28" t="s">
        <v>56</v>
      </c>
      <c r="G165" s="28" t="s">
        <v>55</v>
      </c>
      <c r="H165" s="28" t="s">
        <v>56</v>
      </c>
      <c r="I165" s="28" t="s">
        <v>56</v>
      </c>
      <c r="J165" s="28" t="s">
        <v>55</v>
      </c>
      <c r="K165" s="28" t="s">
        <v>56</v>
      </c>
      <c r="L165" s="28" t="s">
        <v>55</v>
      </c>
      <c r="M165" s="28" t="s">
        <v>56</v>
      </c>
      <c r="N165" s="28" t="s">
        <v>55</v>
      </c>
      <c r="O165" s="29">
        <v>0.13185866130422291</v>
      </c>
      <c r="P165" s="31">
        <v>10443</v>
      </c>
      <c r="Q165" s="31">
        <v>1377</v>
      </c>
      <c r="R165" s="3"/>
    </row>
    <row r="166" spans="1:18" ht="15" customHeight="1" x14ac:dyDescent="0.4">
      <c r="A166" s="28" t="s">
        <v>56</v>
      </c>
      <c r="B166" s="28" t="s">
        <v>56</v>
      </c>
      <c r="C166" s="28" t="s">
        <v>55</v>
      </c>
      <c r="D166" s="28" t="s">
        <v>55</v>
      </c>
      <c r="E166" s="28" t="s">
        <v>56</v>
      </c>
      <c r="F166" s="28" t="s">
        <v>56</v>
      </c>
      <c r="G166" s="28" t="s">
        <v>55</v>
      </c>
      <c r="H166" s="28" t="s">
        <v>56</v>
      </c>
      <c r="I166" s="28" t="s">
        <v>56</v>
      </c>
      <c r="J166" s="28" t="s">
        <v>55</v>
      </c>
      <c r="K166" s="28" t="s">
        <v>56</v>
      </c>
      <c r="L166" s="28" t="s">
        <v>55</v>
      </c>
      <c r="M166" s="28" t="s">
        <v>55</v>
      </c>
      <c r="N166" s="28" t="s">
        <v>56</v>
      </c>
      <c r="O166" s="29">
        <v>0.29929577464788731</v>
      </c>
      <c r="P166" s="31">
        <v>568</v>
      </c>
      <c r="Q166" s="31">
        <v>170</v>
      </c>
      <c r="R166" s="3"/>
    </row>
    <row r="167" spans="1:18" ht="15" customHeight="1" x14ac:dyDescent="0.4">
      <c r="A167" s="28" t="s">
        <v>56</v>
      </c>
      <c r="B167" s="28" t="s">
        <v>56</v>
      </c>
      <c r="C167" s="28" t="s">
        <v>55</v>
      </c>
      <c r="D167" s="28" t="s">
        <v>55</v>
      </c>
      <c r="E167" s="28" t="s">
        <v>56</v>
      </c>
      <c r="F167" s="28" t="s">
        <v>56</v>
      </c>
      <c r="G167" s="28" t="s">
        <v>55</v>
      </c>
      <c r="H167" s="28" t="s">
        <v>56</v>
      </c>
      <c r="I167" s="28" t="s">
        <v>56</v>
      </c>
      <c r="J167" s="28" t="s">
        <v>55</v>
      </c>
      <c r="K167" s="28" t="s">
        <v>56</v>
      </c>
      <c r="L167" s="28" t="s">
        <v>55</v>
      </c>
      <c r="M167" s="28" t="s">
        <v>56</v>
      </c>
      <c r="N167" s="28" t="s">
        <v>55</v>
      </c>
      <c r="O167" s="29">
        <v>0.22641509433962265</v>
      </c>
      <c r="P167" s="31">
        <v>106</v>
      </c>
      <c r="Q167" s="31">
        <v>24</v>
      </c>
    </row>
    <row r="168" spans="1:18" ht="15" customHeight="1" x14ac:dyDescent="0.4">
      <c r="A168" s="28" t="s">
        <v>56</v>
      </c>
      <c r="B168" s="28" t="s">
        <v>56</v>
      </c>
      <c r="C168" s="28" t="s">
        <v>55</v>
      </c>
      <c r="D168" s="28" t="s">
        <v>56</v>
      </c>
      <c r="E168" s="28" t="s">
        <v>55</v>
      </c>
      <c r="F168" s="28" t="s">
        <v>56</v>
      </c>
      <c r="G168" s="28" t="s">
        <v>55</v>
      </c>
      <c r="H168" s="28" t="s">
        <v>56</v>
      </c>
      <c r="I168" s="28" t="s">
        <v>56</v>
      </c>
      <c r="J168" s="28" t="s">
        <v>55</v>
      </c>
      <c r="K168" s="28" t="s">
        <v>56</v>
      </c>
      <c r="L168" s="28" t="s">
        <v>55</v>
      </c>
      <c r="M168" s="28" t="s">
        <v>55</v>
      </c>
      <c r="N168" s="28" t="s">
        <v>56</v>
      </c>
      <c r="O168" s="29">
        <v>0.20806261075014768</v>
      </c>
      <c r="P168" s="31">
        <v>13544</v>
      </c>
      <c r="Q168" s="31">
        <v>2818</v>
      </c>
    </row>
    <row r="169" spans="1:18" ht="15" customHeight="1" x14ac:dyDescent="0.4">
      <c r="A169" s="28" t="s">
        <v>56</v>
      </c>
      <c r="B169" s="28" t="s">
        <v>56</v>
      </c>
      <c r="C169" s="28" t="s">
        <v>55</v>
      </c>
      <c r="D169" s="28" t="s">
        <v>56</v>
      </c>
      <c r="E169" s="28" t="s">
        <v>55</v>
      </c>
      <c r="F169" s="28" t="s">
        <v>56</v>
      </c>
      <c r="G169" s="28" t="s">
        <v>55</v>
      </c>
      <c r="H169" s="28" t="s">
        <v>56</v>
      </c>
      <c r="I169" s="28" t="s">
        <v>56</v>
      </c>
      <c r="J169" s="28" t="s">
        <v>55</v>
      </c>
      <c r="K169" s="28" t="s">
        <v>56</v>
      </c>
      <c r="L169" s="28" t="s">
        <v>55</v>
      </c>
      <c r="M169" s="28" t="s">
        <v>56</v>
      </c>
      <c r="N169" s="28" t="s">
        <v>55</v>
      </c>
      <c r="O169" s="29">
        <v>0.18871753246753248</v>
      </c>
      <c r="P169" s="31">
        <v>2464</v>
      </c>
      <c r="Q169" s="31">
        <v>465</v>
      </c>
    </row>
    <row r="170" spans="1:18" ht="15" customHeight="1" x14ac:dyDescent="0.4">
      <c r="A170" s="28" t="s">
        <v>55</v>
      </c>
      <c r="B170" s="28" t="s">
        <v>56</v>
      </c>
      <c r="C170" s="28" t="s">
        <v>56</v>
      </c>
      <c r="D170" s="28" t="s">
        <v>55</v>
      </c>
      <c r="E170" s="28" t="s">
        <v>56</v>
      </c>
      <c r="F170" s="28" t="s">
        <v>56</v>
      </c>
      <c r="G170" s="28" t="s">
        <v>56</v>
      </c>
      <c r="H170" s="28" t="s">
        <v>55</v>
      </c>
      <c r="I170" s="28" t="s">
        <v>56</v>
      </c>
      <c r="J170" s="28" t="s">
        <v>55</v>
      </c>
      <c r="K170" s="28" t="s">
        <v>56</v>
      </c>
      <c r="L170" s="28" t="s">
        <v>55</v>
      </c>
      <c r="M170" s="28" t="s">
        <v>55</v>
      </c>
      <c r="N170" s="28" t="s">
        <v>56</v>
      </c>
      <c r="O170" s="29">
        <v>0.17093570308416101</v>
      </c>
      <c r="P170" s="31" t="s">
        <v>57</v>
      </c>
      <c r="Q170" s="31" t="s">
        <v>57</v>
      </c>
      <c r="R170" s="3"/>
    </row>
    <row r="171" spans="1:18" ht="15" customHeight="1" x14ac:dyDescent="0.4">
      <c r="A171" s="28" t="s">
        <v>55</v>
      </c>
      <c r="B171" s="28" t="s">
        <v>56</v>
      </c>
      <c r="C171" s="28" t="s">
        <v>56</v>
      </c>
      <c r="D171" s="28" t="s">
        <v>55</v>
      </c>
      <c r="E171" s="28" t="s">
        <v>56</v>
      </c>
      <c r="F171" s="28" t="s">
        <v>56</v>
      </c>
      <c r="G171" s="28" t="s">
        <v>56</v>
      </c>
      <c r="H171" s="28" t="s">
        <v>55</v>
      </c>
      <c r="I171" s="28" t="s">
        <v>56</v>
      </c>
      <c r="J171" s="28" t="s">
        <v>55</v>
      </c>
      <c r="K171" s="28" t="s">
        <v>56</v>
      </c>
      <c r="L171" s="28" t="s">
        <v>55</v>
      </c>
      <c r="M171" s="28" t="s">
        <v>56</v>
      </c>
      <c r="N171" s="28" t="s">
        <v>55</v>
      </c>
      <c r="O171" s="29">
        <v>0.15901060070671377</v>
      </c>
      <c r="P171" s="31" t="s">
        <v>57</v>
      </c>
      <c r="Q171" s="31" t="s">
        <v>57</v>
      </c>
      <c r="R171" s="3"/>
    </row>
    <row r="172" spans="1:18" ht="15" customHeight="1" x14ac:dyDescent="0.4">
      <c r="A172" s="28" t="s">
        <v>55</v>
      </c>
      <c r="B172" s="28" t="s">
        <v>56</v>
      </c>
      <c r="C172" s="28" t="s">
        <v>56</v>
      </c>
      <c r="D172" s="28" t="s">
        <v>56</v>
      </c>
      <c r="E172" s="28" t="s">
        <v>55</v>
      </c>
      <c r="F172" s="28" t="s">
        <v>56</v>
      </c>
      <c r="G172" s="28" t="s">
        <v>56</v>
      </c>
      <c r="H172" s="28" t="s">
        <v>55</v>
      </c>
      <c r="I172" s="28" t="s">
        <v>56</v>
      </c>
      <c r="J172" s="28" t="s">
        <v>55</v>
      </c>
      <c r="K172" s="28" t="s">
        <v>56</v>
      </c>
      <c r="L172" s="28" t="s">
        <v>55</v>
      </c>
      <c r="M172" s="28" t="s">
        <v>55</v>
      </c>
      <c r="N172" s="28" t="s">
        <v>56</v>
      </c>
      <c r="O172" s="29">
        <v>0.13402061855670103</v>
      </c>
      <c r="P172" s="31">
        <v>97</v>
      </c>
      <c r="Q172" s="31">
        <v>13</v>
      </c>
      <c r="R172" s="3"/>
    </row>
    <row r="173" spans="1:18" ht="15" customHeight="1" x14ac:dyDescent="0.4">
      <c r="A173" s="28" t="s">
        <v>55</v>
      </c>
      <c r="B173" s="28" t="s">
        <v>56</v>
      </c>
      <c r="C173" s="28" t="s">
        <v>56</v>
      </c>
      <c r="D173" s="28" t="s">
        <v>56</v>
      </c>
      <c r="E173" s="28" t="s">
        <v>55</v>
      </c>
      <c r="F173" s="28" t="s">
        <v>56</v>
      </c>
      <c r="G173" s="28" t="s">
        <v>56</v>
      </c>
      <c r="H173" s="28" t="s">
        <v>55</v>
      </c>
      <c r="I173" s="28" t="s">
        <v>56</v>
      </c>
      <c r="J173" s="28" t="s">
        <v>55</v>
      </c>
      <c r="K173" s="28" t="s">
        <v>56</v>
      </c>
      <c r="L173" s="28" t="s">
        <v>55</v>
      </c>
      <c r="M173" s="28" t="s">
        <v>56</v>
      </c>
      <c r="N173" s="28" t="s">
        <v>55</v>
      </c>
      <c r="O173" s="29">
        <v>0.13400000000000001</v>
      </c>
      <c r="P173" s="31" t="s">
        <v>57</v>
      </c>
      <c r="Q173" s="31" t="s">
        <v>57</v>
      </c>
    </row>
    <row r="174" spans="1:18" ht="15" customHeight="1" x14ac:dyDescent="0.4">
      <c r="A174" s="28" t="s">
        <v>56</v>
      </c>
      <c r="B174" s="28" t="s">
        <v>55</v>
      </c>
      <c r="C174" s="28" t="s">
        <v>56</v>
      </c>
      <c r="D174" s="28" t="s">
        <v>55</v>
      </c>
      <c r="E174" s="28" t="s">
        <v>56</v>
      </c>
      <c r="F174" s="28" t="s">
        <v>56</v>
      </c>
      <c r="G174" s="28" t="s">
        <v>56</v>
      </c>
      <c r="H174" s="28" t="s">
        <v>55</v>
      </c>
      <c r="I174" s="28" t="s">
        <v>56</v>
      </c>
      <c r="J174" s="28" t="s">
        <v>55</v>
      </c>
      <c r="K174" s="28" t="s">
        <v>56</v>
      </c>
      <c r="L174" s="28" t="s">
        <v>55</v>
      </c>
      <c r="M174" s="28" t="s">
        <v>55</v>
      </c>
      <c r="N174" s="28" t="s">
        <v>56</v>
      </c>
      <c r="O174" s="29">
        <v>0.18947368421052632</v>
      </c>
      <c r="P174" s="31">
        <v>95</v>
      </c>
      <c r="Q174" s="31">
        <v>18</v>
      </c>
    </row>
    <row r="175" spans="1:18" ht="15" customHeight="1" x14ac:dyDescent="0.4">
      <c r="A175" s="28" t="s">
        <v>56</v>
      </c>
      <c r="B175" s="28" t="s">
        <v>55</v>
      </c>
      <c r="C175" s="28" t="s">
        <v>56</v>
      </c>
      <c r="D175" s="28" t="s">
        <v>55</v>
      </c>
      <c r="E175" s="28" t="s">
        <v>56</v>
      </c>
      <c r="F175" s="28" t="s">
        <v>56</v>
      </c>
      <c r="G175" s="28" t="s">
        <v>56</v>
      </c>
      <c r="H175" s="28" t="s">
        <v>55</v>
      </c>
      <c r="I175" s="28" t="s">
        <v>56</v>
      </c>
      <c r="J175" s="28" t="s">
        <v>55</v>
      </c>
      <c r="K175" s="28" t="s">
        <v>56</v>
      </c>
      <c r="L175" s="28" t="s">
        <v>55</v>
      </c>
      <c r="M175" s="28" t="s">
        <v>56</v>
      </c>
      <c r="N175" s="28" t="s">
        <v>55</v>
      </c>
      <c r="O175" s="29">
        <v>0.18947368421052632</v>
      </c>
      <c r="P175" s="31" t="s">
        <v>57</v>
      </c>
      <c r="Q175" s="31" t="s">
        <v>57</v>
      </c>
    </row>
    <row r="176" spans="1:18" ht="15" customHeight="1" x14ac:dyDescent="0.4">
      <c r="A176" s="28" t="s">
        <v>56</v>
      </c>
      <c r="B176" s="28" t="s">
        <v>55</v>
      </c>
      <c r="C176" s="28" t="s">
        <v>56</v>
      </c>
      <c r="D176" s="28" t="s">
        <v>56</v>
      </c>
      <c r="E176" s="28" t="s">
        <v>55</v>
      </c>
      <c r="F176" s="28" t="s">
        <v>56</v>
      </c>
      <c r="G176" s="28" t="s">
        <v>56</v>
      </c>
      <c r="H176" s="28" t="s">
        <v>55</v>
      </c>
      <c r="I176" s="28" t="s">
        <v>56</v>
      </c>
      <c r="J176" s="28" t="s">
        <v>55</v>
      </c>
      <c r="K176" s="28" t="s">
        <v>56</v>
      </c>
      <c r="L176" s="28" t="s">
        <v>55</v>
      </c>
      <c r="M176" s="28" t="s">
        <v>55</v>
      </c>
      <c r="N176" s="28" t="s">
        <v>56</v>
      </c>
      <c r="O176" s="29">
        <v>0.12515438452037875</v>
      </c>
      <c r="P176" s="31">
        <v>2429</v>
      </c>
      <c r="Q176" s="31">
        <v>304</v>
      </c>
    </row>
    <row r="177" spans="1:17" ht="15" customHeight="1" x14ac:dyDescent="0.4">
      <c r="A177" s="28" t="s">
        <v>56</v>
      </c>
      <c r="B177" s="28" t="s">
        <v>55</v>
      </c>
      <c r="C177" s="28" t="s">
        <v>56</v>
      </c>
      <c r="D177" s="28" t="s">
        <v>56</v>
      </c>
      <c r="E177" s="28" t="s">
        <v>55</v>
      </c>
      <c r="F177" s="28" t="s">
        <v>56</v>
      </c>
      <c r="G177" s="28" t="s">
        <v>56</v>
      </c>
      <c r="H177" s="28" t="s">
        <v>55</v>
      </c>
      <c r="I177" s="28" t="s">
        <v>56</v>
      </c>
      <c r="J177" s="28" t="s">
        <v>55</v>
      </c>
      <c r="K177" s="28" t="s">
        <v>56</v>
      </c>
      <c r="L177" s="28" t="s">
        <v>55</v>
      </c>
      <c r="M177" s="28" t="s">
        <v>56</v>
      </c>
      <c r="N177" s="28" t="s">
        <v>55</v>
      </c>
      <c r="O177" s="29">
        <v>0.10407876230661041</v>
      </c>
      <c r="P177" s="31">
        <v>1422</v>
      </c>
      <c r="Q177" s="31">
        <v>148</v>
      </c>
    </row>
    <row r="178" spans="1:17" ht="15" customHeight="1" x14ac:dyDescent="0.4">
      <c r="A178" s="28" t="s">
        <v>56</v>
      </c>
      <c r="B178" s="28" t="s">
        <v>56</v>
      </c>
      <c r="C178" s="28" t="s">
        <v>55</v>
      </c>
      <c r="D178" s="28" t="s">
        <v>55</v>
      </c>
      <c r="E178" s="28" t="s">
        <v>56</v>
      </c>
      <c r="F178" s="28" t="s">
        <v>56</v>
      </c>
      <c r="G178" s="28" t="s">
        <v>56</v>
      </c>
      <c r="H178" s="28" t="s">
        <v>55</v>
      </c>
      <c r="I178" s="28" t="s">
        <v>56</v>
      </c>
      <c r="J178" s="28" t="s">
        <v>55</v>
      </c>
      <c r="K178" s="28" t="s">
        <v>56</v>
      </c>
      <c r="L178" s="28" t="s">
        <v>55</v>
      </c>
      <c r="M178" s="28" t="s">
        <v>55</v>
      </c>
      <c r="N178" s="28" t="s">
        <v>56</v>
      </c>
      <c r="O178" s="29">
        <v>0.3</v>
      </c>
      <c r="P178" s="31" t="s">
        <v>57</v>
      </c>
      <c r="Q178" s="31" t="s">
        <v>57</v>
      </c>
    </row>
    <row r="179" spans="1:17" ht="15" customHeight="1" x14ac:dyDescent="0.4">
      <c r="A179" s="28" t="s">
        <v>56</v>
      </c>
      <c r="B179" s="28" t="s">
        <v>56</v>
      </c>
      <c r="C179" s="28" t="s">
        <v>55</v>
      </c>
      <c r="D179" s="28" t="s">
        <v>55</v>
      </c>
      <c r="E179" s="28" t="s">
        <v>56</v>
      </c>
      <c r="F179" s="28" t="s">
        <v>56</v>
      </c>
      <c r="G179" s="28" t="s">
        <v>56</v>
      </c>
      <c r="H179" s="28" t="s">
        <v>55</v>
      </c>
      <c r="I179" s="28" t="s">
        <v>56</v>
      </c>
      <c r="J179" s="28" t="s">
        <v>55</v>
      </c>
      <c r="K179" s="28" t="s">
        <v>56</v>
      </c>
      <c r="L179" s="28" t="s">
        <v>55</v>
      </c>
      <c r="M179" s="28" t="s">
        <v>56</v>
      </c>
      <c r="N179" s="28" t="s">
        <v>55</v>
      </c>
      <c r="O179" s="29">
        <v>0.3</v>
      </c>
      <c r="P179" s="31" t="s">
        <v>57</v>
      </c>
      <c r="Q179" s="31" t="s">
        <v>57</v>
      </c>
    </row>
    <row r="180" spans="1:17" ht="15" customHeight="1" x14ac:dyDescent="0.4">
      <c r="A180" s="28" t="s">
        <v>56</v>
      </c>
      <c r="B180" s="28" t="s">
        <v>56</v>
      </c>
      <c r="C180" s="28" t="s">
        <v>55</v>
      </c>
      <c r="D180" s="28" t="s">
        <v>56</v>
      </c>
      <c r="E180" s="28" t="s">
        <v>55</v>
      </c>
      <c r="F180" s="28" t="s">
        <v>56</v>
      </c>
      <c r="G180" s="28" t="s">
        <v>56</v>
      </c>
      <c r="H180" s="28" t="s">
        <v>55</v>
      </c>
      <c r="I180" s="28" t="s">
        <v>56</v>
      </c>
      <c r="J180" s="28" t="s">
        <v>55</v>
      </c>
      <c r="K180" s="28" t="s">
        <v>56</v>
      </c>
      <c r="L180" s="28" t="s">
        <v>55</v>
      </c>
      <c r="M180" s="28" t="s">
        <v>55</v>
      </c>
      <c r="N180" s="28" t="s">
        <v>56</v>
      </c>
      <c r="O180" s="29">
        <v>0.2</v>
      </c>
      <c r="P180" s="31">
        <v>613</v>
      </c>
      <c r="Q180" s="31">
        <v>95</v>
      </c>
    </row>
    <row r="181" spans="1:17" ht="15" customHeight="1" x14ac:dyDescent="0.4">
      <c r="A181" s="28" t="s">
        <v>56</v>
      </c>
      <c r="B181" s="28" t="s">
        <v>56</v>
      </c>
      <c r="C181" s="28" t="s">
        <v>55</v>
      </c>
      <c r="D181" s="28" t="s">
        <v>56</v>
      </c>
      <c r="E181" s="28" t="s">
        <v>55</v>
      </c>
      <c r="F181" s="28" t="s">
        <v>56</v>
      </c>
      <c r="G181" s="28" t="s">
        <v>56</v>
      </c>
      <c r="H181" s="28" t="s">
        <v>55</v>
      </c>
      <c r="I181" s="28" t="s">
        <v>56</v>
      </c>
      <c r="J181" s="28" t="s">
        <v>55</v>
      </c>
      <c r="K181" s="28" t="s">
        <v>56</v>
      </c>
      <c r="L181" s="28" t="s">
        <v>55</v>
      </c>
      <c r="M181" s="28" t="s">
        <v>56</v>
      </c>
      <c r="N181" s="28" t="s">
        <v>55</v>
      </c>
      <c r="O181" s="29">
        <v>0.2</v>
      </c>
      <c r="P181" s="31">
        <v>673</v>
      </c>
      <c r="Q181" s="31">
        <v>83</v>
      </c>
    </row>
    <row r="182" spans="1:17" ht="15" customHeight="1" x14ac:dyDescent="0.4">
      <c r="A182" s="28" t="s">
        <v>55</v>
      </c>
      <c r="B182" s="28" t="s">
        <v>56</v>
      </c>
      <c r="C182" s="28" t="s">
        <v>56</v>
      </c>
      <c r="D182" s="28" t="s">
        <v>55</v>
      </c>
      <c r="E182" s="28" t="s">
        <v>56</v>
      </c>
      <c r="F182" s="28" t="s">
        <v>55</v>
      </c>
      <c r="G182" s="28" t="s">
        <v>56</v>
      </c>
      <c r="H182" s="28" t="s">
        <v>56</v>
      </c>
      <c r="I182" s="28" t="s">
        <v>55</v>
      </c>
      <c r="J182" s="28" t="s">
        <v>55</v>
      </c>
      <c r="K182" s="28" t="s">
        <v>56</v>
      </c>
      <c r="L182" s="28" t="s">
        <v>55</v>
      </c>
      <c r="M182" s="28" t="s">
        <v>55</v>
      </c>
      <c r="N182" s="28" t="s">
        <v>56</v>
      </c>
      <c r="O182" s="29">
        <v>0.50495049504950495</v>
      </c>
      <c r="P182" s="31">
        <v>101</v>
      </c>
      <c r="Q182" s="31">
        <v>51</v>
      </c>
    </row>
    <row r="183" spans="1:17" ht="15" customHeight="1" x14ac:dyDescent="0.4">
      <c r="A183" s="28" t="s">
        <v>55</v>
      </c>
      <c r="B183" s="28" t="s">
        <v>56</v>
      </c>
      <c r="C183" s="28" t="s">
        <v>56</v>
      </c>
      <c r="D183" s="28" t="s">
        <v>55</v>
      </c>
      <c r="E183" s="28" t="s">
        <v>56</v>
      </c>
      <c r="F183" s="28" t="s">
        <v>55</v>
      </c>
      <c r="G183" s="28" t="s">
        <v>56</v>
      </c>
      <c r="H183" s="28" t="s">
        <v>56</v>
      </c>
      <c r="I183" s="28" t="s">
        <v>55</v>
      </c>
      <c r="J183" s="28" t="s">
        <v>55</v>
      </c>
      <c r="K183" s="28" t="s">
        <v>56</v>
      </c>
      <c r="L183" s="28" t="s">
        <v>55</v>
      </c>
      <c r="M183" s="28" t="s">
        <v>56</v>
      </c>
      <c r="N183" s="28" t="s">
        <v>55</v>
      </c>
      <c r="O183" s="29">
        <v>0.505</v>
      </c>
      <c r="P183" s="31" t="s">
        <v>57</v>
      </c>
      <c r="Q183" s="31">
        <v>10</v>
      </c>
    </row>
    <row r="184" spans="1:17" ht="15" customHeight="1" x14ac:dyDescent="0.4">
      <c r="A184" s="28" t="s">
        <v>55</v>
      </c>
      <c r="B184" s="28" t="s">
        <v>56</v>
      </c>
      <c r="C184" s="28" t="s">
        <v>56</v>
      </c>
      <c r="D184" s="28" t="s">
        <v>56</v>
      </c>
      <c r="E184" s="28" t="s">
        <v>55</v>
      </c>
      <c r="F184" s="28" t="s">
        <v>55</v>
      </c>
      <c r="G184" s="28" t="s">
        <v>56</v>
      </c>
      <c r="H184" s="28" t="s">
        <v>56</v>
      </c>
      <c r="I184" s="28" t="s">
        <v>55</v>
      </c>
      <c r="J184" s="28" t="s">
        <v>55</v>
      </c>
      <c r="K184" s="28" t="s">
        <v>56</v>
      </c>
      <c r="L184" s="28" t="s">
        <v>55</v>
      </c>
      <c r="M184" s="28" t="s">
        <v>55</v>
      </c>
      <c r="N184" s="28" t="s">
        <v>56</v>
      </c>
      <c r="O184" s="29">
        <v>0.30754716981132074</v>
      </c>
      <c r="P184" s="31">
        <v>530</v>
      </c>
      <c r="Q184" s="31">
        <v>163</v>
      </c>
    </row>
    <row r="185" spans="1:17" ht="15" customHeight="1" x14ac:dyDescent="0.4">
      <c r="A185" s="28" t="s">
        <v>55</v>
      </c>
      <c r="B185" s="28" t="s">
        <v>56</v>
      </c>
      <c r="C185" s="28" t="s">
        <v>56</v>
      </c>
      <c r="D185" s="28" t="s">
        <v>56</v>
      </c>
      <c r="E185" s="28" t="s">
        <v>55</v>
      </c>
      <c r="F185" s="28" t="s">
        <v>55</v>
      </c>
      <c r="G185" s="28" t="s">
        <v>56</v>
      </c>
      <c r="H185" s="28" t="s">
        <v>56</v>
      </c>
      <c r="I185" s="28" t="s">
        <v>55</v>
      </c>
      <c r="J185" s="28" t="s">
        <v>55</v>
      </c>
      <c r="K185" s="28" t="s">
        <v>56</v>
      </c>
      <c r="L185" s="28" t="s">
        <v>55</v>
      </c>
      <c r="M185" s="28" t="s">
        <v>56</v>
      </c>
      <c r="N185" s="28" t="s">
        <v>55</v>
      </c>
      <c r="O185" s="29">
        <v>0.35849056603773582</v>
      </c>
      <c r="P185" s="31">
        <v>53</v>
      </c>
      <c r="Q185" s="31">
        <v>19</v>
      </c>
    </row>
    <row r="186" spans="1:17" ht="15" customHeight="1" x14ac:dyDescent="0.4">
      <c r="A186" s="28" t="s">
        <v>56</v>
      </c>
      <c r="B186" s="28" t="s">
        <v>55</v>
      </c>
      <c r="C186" s="28" t="s">
        <v>56</v>
      </c>
      <c r="D186" s="28" t="s">
        <v>55</v>
      </c>
      <c r="E186" s="28" t="s">
        <v>56</v>
      </c>
      <c r="F186" s="28" t="s">
        <v>55</v>
      </c>
      <c r="G186" s="28" t="s">
        <v>56</v>
      </c>
      <c r="H186" s="28" t="s">
        <v>56</v>
      </c>
      <c r="I186" s="28" t="s">
        <v>55</v>
      </c>
      <c r="J186" s="28" t="s">
        <v>55</v>
      </c>
      <c r="K186" s="28" t="s">
        <v>56</v>
      </c>
      <c r="L186" s="28" t="s">
        <v>55</v>
      </c>
      <c r="M186" s="28" t="s">
        <v>55</v>
      </c>
      <c r="N186" s="28" t="s">
        <v>56</v>
      </c>
      <c r="O186" s="29">
        <v>0.4225484072454716</v>
      </c>
      <c r="P186" s="31">
        <v>3202</v>
      </c>
      <c r="Q186" s="31">
        <v>1353</v>
      </c>
    </row>
    <row r="187" spans="1:17" ht="15" customHeight="1" x14ac:dyDescent="0.4">
      <c r="A187" s="28" t="s">
        <v>56</v>
      </c>
      <c r="B187" s="28" t="s">
        <v>55</v>
      </c>
      <c r="C187" s="28" t="s">
        <v>56</v>
      </c>
      <c r="D187" s="28" t="s">
        <v>55</v>
      </c>
      <c r="E187" s="28" t="s">
        <v>56</v>
      </c>
      <c r="F187" s="28" t="s">
        <v>55</v>
      </c>
      <c r="G187" s="28" t="s">
        <v>56</v>
      </c>
      <c r="H187" s="28" t="s">
        <v>56</v>
      </c>
      <c r="I187" s="28" t="s">
        <v>55</v>
      </c>
      <c r="J187" s="28" t="s">
        <v>55</v>
      </c>
      <c r="K187" s="28" t="s">
        <v>56</v>
      </c>
      <c r="L187" s="28" t="s">
        <v>55</v>
      </c>
      <c r="M187" s="28" t="s">
        <v>56</v>
      </c>
      <c r="N187" s="28" t="s">
        <v>55</v>
      </c>
      <c r="O187" s="29">
        <v>0.3968253968253968</v>
      </c>
      <c r="P187" s="31">
        <v>504</v>
      </c>
      <c r="Q187" s="31">
        <v>200</v>
      </c>
    </row>
    <row r="188" spans="1:17" ht="15" customHeight="1" x14ac:dyDescent="0.4">
      <c r="A188" s="28" t="s">
        <v>56</v>
      </c>
      <c r="B188" s="28" t="s">
        <v>55</v>
      </c>
      <c r="C188" s="28" t="s">
        <v>56</v>
      </c>
      <c r="D188" s="28" t="s">
        <v>56</v>
      </c>
      <c r="E188" s="28" t="s">
        <v>55</v>
      </c>
      <c r="F188" s="28" t="s">
        <v>55</v>
      </c>
      <c r="G188" s="28" t="s">
        <v>56</v>
      </c>
      <c r="H188" s="28" t="s">
        <v>56</v>
      </c>
      <c r="I188" s="28" t="s">
        <v>55</v>
      </c>
      <c r="J188" s="28" t="s">
        <v>55</v>
      </c>
      <c r="K188" s="28" t="s">
        <v>56</v>
      </c>
      <c r="L188" s="28" t="s">
        <v>55</v>
      </c>
      <c r="M188" s="28" t="s">
        <v>55</v>
      </c>
      <c r="N188" s="28" t="s">
        <v>56</v>
      </c>
      <c r="O188" s="29">
        <v>0.2728871363103485</v>
      </c>
      <c r="P188" s="31">
        <v>37532</v>
      </c>
      <c r="Q188" s="31">
        <v>10242</v>
      </c>
    </row>
    <row r="189" spans="1:17" ht="15" customHeight="1" x14ac:dyDescent="0.4">
      <c r="A189" s="28" t="s">
        <v>56</v>
      </c>
      <c r="B189" s="28" t="s">
        <v>55</v>
      </c>
      <c r="C189" s="28" t="s">
        <v>56</v>
      </c>
      <c r="D189" s="28" t="s">
        <v>56</v>
      </c>
      <c r="E189" s="28" t="s">
        <v>55</v>
      </c>
      <c r="F189" s="28" t="s">
        <v>55</v>
      </c>
      <c r="G189" s="28" t="s">
        <v>56</v>
      </c>
      <c r="H189" s="28" t="s">
        <v>56</v>
      </c>
      <c r="I189" s="28" t="s">
        <v>55</v>
      </c>
      <c r="J189" s="28" t="s">
        <v>55</v>
      </c>
      <c r="K189" s="28" t="s">
        <v>56</v>
      </c>
      <c r="L189" s="28" t="s">
        <v>55</v>
      </c>
      <c r="M189" s="28" t="s">
        <v>56</v>
      </c>
      <c r="N189" s="28" t="s">
        <v>55</v>
      </c>
      <c r="O189" s="29">
        <v>0.26303889056376245</v>
      </c>
      <c r="P189" s="31">
        <v>6634</v>
      </c>
      <c r="Q189" s="31">
        <v>1745</v>
      </c>
    </row>
    <row r="190" spans="1:17" ht="15" customHeight="1" x14ac:dyDescent="0.4">
      <c r="A190" s="28" t="s">
        <v>56</v>
      </c>
      <c r="B190" s="28" t="s">
        <v>56</v>
      </c>
      <c r="C190" s="28" t="s">
        <v>55</v>
      </c>
      <c r="D190" s="28" t="s">
        <v>55</v>
      </c>
      <c r="E190" s="28" t="s">
        <v>56</v>
      </c>
      <c r="F190" s="28" t="s">
        <v>55</v>
      </c>
      <c r="G190" s="28" t="s">
        <v>56</v>
      </c>
      <c r="H190" s="28" t="s">
        <v>56</v>
      </c>
      <c r="I190" s="28" t="s">
        <v>55</v>
      </c>
      <c r="J190" s="28" t="s">
        <v>55</v>
      </c>
      <c r="K190" s="28" t="s">
        <v>56</v>
      </c>
      <c r="L190" s="28" t="s">
        <v>55</v>
      </c>
      <c r="M190" s="28" t="s">
        <v>55</v>
      </c>
      <c r="N190" s="28" t="s">
        <v>56</v>
      </c>
      <c r="O190" s="29">
        <v>0.44969199178644764</v>
      </c>
      <c r="P190" s="31">
        <v>487</v>
      </c>
      <c r="Q190" s="31">
        <v>219</v>
      </c>
    </row>
    <row r="191" spans="1:17" ht="15" customHeight="1" x14ac:dyDescent="0.4">
      <c r="A191" s="28" t="s">
        <v>56</v>
      </c>
      <c r="B191" s="28" t="s">
        <v>56</v>
      </c>
      <c r="C191" s="28" t="s">
        <v>55</v>
      </c>
      <c r="D191" s="28" t="s">
        <v>55</v>
      </c>
      <c r="E191" s="28" t="s">
        <v>56</v>
      </c>
      <c r="F191" s="28" t="s">
        <v>55</v>
      </c>
      <c r="G191" s="28" t="s">
        <v>56</v>
      </c>
      <c r="H191" s="28" t="s">
        <v>56</v>
      </c>
      <c r="I191" s="28" t="s">
        <v>55</v>
      </c>
      <c r="J191" s="28" t="s">
        <v>55</v>
      </c>
      <c r="K191" s="28" t="s">
        <v>56</v>
      </c>
      <c r="L191" s="28" t="s">
        <v>55</v>
      </c>
      <c r="M191" s="28" t="s">
        <v>56</v>
      </c>
      <c r="N191" s="28" t="s">
        <v>55</v>
      </c>
      <c r="O191" s="29">
        <v>0.44897959183673469</v>
      </c>
      <c r="P191" s="31">
        <v>98</v>
      </c>
      <c r="Q191" s="31">
        <v>44</v>
      </c>
    </row>
    <row r="192" spans="1:17" ht="15" customHeight="1" x14ac:dyDescent="0.4">
      <c r="A192" s="28" t="s">
        <v>56</v>
      </c>
      <c r="B192" s="28" t="s">
        <v>56</v>
      </c>
      <c r="C192" s="28" t="s">
        <v>55</v>
      </c>
      <c r="D192" s="28" t="s">
        <v>56</v>
      </c>
      <c r="E192" s="28" t="s">
        <v>55</v>
      </c>
      <c r="F192" s="28" t="s">
        <v>55</v>
      </c>
      <c r="G192" s="28" t="s">
        <v>56</v>
      </c>
      <c r="H192" s="28" t="s">
        <v>56</v>
      </c>
      <c r="I192" s="28" t="s">
        <v>55</v>
      </c>
      <c r="J192" s="28" t="s">
        <v>55</v>
      </c>
      <c r="K192" s="28" t="s">
        <v>56</v>
      </c>
      <c r="L192" s="28" t="s">
        <v>55</v>
      </c>
      <c r="M192" s="28" t="s">
        <v>55</v>
      </c>
      <c r="N192" s="28" t="s">
        <v>56</v>
      </c>
      <c r="O192" s="29">
        <v>0.33676975945017185</v>
      </c>
      <c r="P192" s="31">
        <v>7275</v>
      </c>
      <c r="Q192" s="31">
        <v>2450</v>
      </c>
    </row>
    <row r="193" spans="1:17" ht="15" customHeight="1" x14ac:dyDescent="0.4">
      <c r="A193" s="28" t="s">
        <v>56</v>
      </c>
      <c r="B193" s="28" t="s">
        <v>56</v>
      </c>
      <c r="C193" s="28" t="s">
        <v>55</v>
      </c>
      <c r="D193" s="28" t="s">
        <v>56</v>
      </c>
      <c r="E193" s="28" t="s">
        <v>55</v>
      </c>
      <c r="F193" s="28" t="s">
        <v>55</v>
      </c>
      <c r="G193" s="28" t="s">
        <v>56</v>
      </c>
      <c r="H193" s="28" t="s">
        <v>56</v>
      </c>
      <c r="I193" s="28" t="s">
        <v>55</v>
      </c>
      <c r="J193" s="28" t="s">
        <v>55</v>
      </c>
      <c r="K193" s="28" t="s">
        <v>56</v>
      </c>
      <c r="L193" s="28" t="s">
        <v>55</v>
      </c>
      <c r="M193" s="28" t="s">
        <v>56</v>
      </c>
      <c r="N193" s="28" t="s">
        <v>55</v>
      </c>
      <c r="O193" s="29">
        <v>0.3168016194331984</v>
      </c>
      <c r="P193" s="31">
        <v>1976</v>
      </c>
      <c r="Q193" s="31">
        <v>626</v>
      </c>
    </row>
    <row r="194" spans="1:17" ht="15" customHeight="1" x14ac:dyDescent="0.4">
      <c r="A194" s="28" t="s">
        <v>55</v>
      </c>
      <c r="B194" s="28" t="s">
        <v>56</v>
      </c>
      <c r="C194" s="28" t="s">
        <v>56</v>
      </c>
      <c r="D194" s="28" t="s">
        <v>55</v>
      </c>
      <c r="E194" s="28" t="s">
        <v>56</v>
      </c>
      <c r="F194" s="28" t="s">
        <v>56</v>
      </c>
      <c r="G194" s="28" t="s">
        <v>55</v>
      </c>
      <c r="H194" s="28" t="s">
        <v>56</v>
      </c>
      <c r="I194" s="28" t="s">
        <v>55</v>
      </c>
      <c r="J194" s="28" t="s">
        <v>55</v>
      </c>
      <c r="K194" s="28" t="s">
        <v>56</v>
      </c>
      <c r="L194" s="28" t="s">
        <v>55</v>
      </c>
      <c r="M194" s="28" t="s">
        <v>55</v>
      </c>
      <c r="N194" s="28" t="s">
        <v>56</v>
      </c>
      <c r="O194" s="29">
        <v>0.6</v>
      </c>
      <c r="P194" s="31" t="s">
        <v>57</v>
      </c>
      <c r="Q194" s="31">
        <v>11</v>
      </c>
    </row>
    <row r="195" spans="1:17" ht="15" customHeight="1" x14ac:dyDescent="0.4">
      <c r="A195" s="28" t="s">
        <v>55</v>
      </c>
      <c r="B195" s="28" t="s">
        <v>56</v>
      </c>
      <c r="C195" s="28" t="s">
        <v>56</v>
      </c>
      <c r="D195" s="28" t="s">
        <v>55</v>
      </c>
      <c r="E195" s="28" t="s">
        <v>56</v>
      </c>
      <c r="F195" s="28" t="s">
        <v>56</v>
      </c>
      <c r="G195" s="28" t="s">
        <v>55</v>
      </c>
      <c r="H195" s="28" t="s">
        <v>56</v>
      </c>
      <c r="I195" s="28" t="s">
        <v>55</v>
      </c>
      <c r="J195" s="28" t="s">
        <v>55</v>
      </c>
      <c r="K195" s="28" t="s">
        <v>56</v>
      </c>
      <c r="L195" s="28" t="s">
        <v>55</v>
      </c>
      <c r="M195" s="28" t="s">
        <v>56</v>
      </c>
      <c r="N195" s="28" t="s">
        <v>55</v>
      </c>
      <c r="O195" s="29">
        <v>0.6</v>
      </c>
      <c r="P195" s="31" t="s">
        <v>57</v>
      </c>
      <c r="Q195" s="31" t="s">
        <v>57</v>
      </c>
    </row>
    <row r="196" spans="1:17" ht="15" customHeight="1" x14ac:dyDescent="0.4">
      <c r="A196" s="28" t="s">
        <v>55</v>
      </c>
      <c r="B196" s="28" t="s">
        <v>56</v>
      </c>
      <c r="C196" s="28" t="s">
        <v>56</v>
      </c>
      <c r="D196" s="28" t="s">
        <v>56</v>
      </c>
      <c r="E196" s="28" t="s">
        <v>55</v>
      </c>
      <c r="F196" s="28" t="s">
        <v>56</v>
      </c>
      <c r="G196" s="28" t="s">
        <v>55</v>
      </c>
      <c r="H196" s="28" t="s">
        <v>56</v>
      </c>
      <c r="I196" s="28" t="s">
        <v>55</v>
      </c>
      <c r="J196" s="28" t="s">
        <v>55</v>
      </c>
      <c r="K196" s="28" t="s">
        <v>56</v>
      </c>
      <c r="L196" s="28" t="s">
        <v>55</v>
      </c>
      <c r="M196" s="28" t="s">
        <v>55</v>
      </c>
      <c r="N196" s="28" t="s">
        <v>56</v>
      </c>
      <c r="O196" s="29">
        <v>0.44</v>
      </c>
      <c r="P196" s="31">
        <v>75</v>
      </c>
      <c r="Q196" s="31">
        <v>33</v>
      </c>
    </row>
    <row r="197" spans="1:17" ht="15" customHeight="1" x14ac:dyDescent="0.4">
      <c r="A197" s="28" t="s">
        <v>55</v>
      </c>
      <c r="B197" s="28" t="s">
        <v>56</v>
      </c>
      <c r="C197" s="28" t="s">
        <v>56</v>
      </c>
      <c r="D197" s="28" t="s">
        <v>56</v>
      </c>
      <c r="E197" s="28" t="s">
        <v>55</v>
      </c>
      <c r="F197" s="28" t="s">
        <v>56</v>
      </c>
      <c r="G197" s="28" t="s">
        <v>55</v>
      </c>
      <c r="H197" s="28" t="s">
        <v>56</v>
      </c>
      <c r="I197" s="28" t="s">
        <v>55</v>
      </c>
      <c r="J197" s="28" t="s">
        <v>55</v>
      </c>
      <c r="K197" s="28" t="s">
        <v>56</v>
      </c>
      <c r="L197" s="28" t="s">
        <v>55</v>
      </c>
      <c r="M197" s="28" t="s">
        <v>56</v>
      </c>
      <c r="N197" s="28" t="s">
        <v>55</v>
      </c>
      <c r="O197" s="29">
        <v>0.44</v>
      </c>
      <c r="P197" s="31" t="s">
        <v>57</v>
      </c>
      <c r="Q197" s="31" t="s">
        <v>57</v>
      </c>
    </row>
    <row r="198" spans="1:17" ht="15" customHeight="1" x14ac:dyDescent="0.4">
      <c r="A198" s="28" t="s">
        <v>56</v>
      </c>
      <c r="B198" s="28" t="s">
        <v>55</v>
      </c>
      <c r="C198" s="28" t="s">
        <v>56</v>
      </c>
      <c r="D198" s="28" t="s">
        <v>55</v>
      </c>
      <c r="E198" s="28" t="s">
        <v>56</v>
      </c>
      <c r="F198" s="28" t="s">
        <v>56</v>
      </c>
      <c r="G198" s="28" t="s">
        <v>55</v>
      </c>
      <c r="H198" s="28" t="s">
        <v>56</v>
      </c>
      <c r="I198" s="28" t="s">
        <v>55</v>
      </c>
      <c r="J198" s="28" t="s">
        <v>55</v>
      </c>
      <c r="K198" s="28" t="s">
        <v>56</v>
      </c>
      <c r="L198" s="28" t="s">
        <v>55</v>
      </c>
      <c r="M198" s="28" t="s">
        <v>55</v>
      </c>
      <c r="N198" s="28" t="s">
        <v>56</v>
      </c>
      <c r="O198" s="29">
        <v>0.55118110236220474</v>
      </c>
      <c r="P198" s="31">
        <v>889</v>
      </c>
      <c r="Q198" s="31">
        <v>490</v>
      </c>
    </row>
    <row r="199" spans="1:17" ht="15" customHeight="1" x14ac:dyDescent="0.4">
      <c r="A199" s="28" t="s">
        <v>56</v>
      </c>
      <c r="B199" s="28" t="s">
        <v>55</v>
      </c>
      <c r="C199" s="28" t="s">
        <v>56</v>
      </c>
      <c r="D199" s="28" t="s">
        <v>55</v>
      </c>
      <c r="E199" s="28" t="s">
        <v>56</v>
      </c>
      <c r="F199" s="28" t="s">
        <v>56</v>
      </c>
      <c r="G199" s="28" t="s">
        <v>55</v>
      </c>
      <c r="H199" s="28" t="s">
        <v>56</v>
      </c>
      <c r="I199" s="28" t="s">
        <v>55</v>
      </c>
      <c r="J199" s="28" t="s">
        <v>55</v>
      </c>
      <c r="K199" s="28" t="s">
        <v>56</v>
      </c>
      <c r="L199" s="28" t="s">
        <v>55</v>
      </c>
      <c r="M199" s="28" t="s">
        <v>56</v>
      </c>
      <c r="N199" s="28" t="s">
        <v>55</v>
      </c>
      <c r="O199" s="29">
        <v>0.51666666666666672</v>
      </c>
      <c r="P199" s="31">
        <v>60</v>
      </c>
      <c r="Q199" s="31">
        <v>31</v>
      </c>
    </row>
    <row r="200" spans="1:17" ht="15" customHeight="1" x14ac:dyDescent="0.4">
      <c r="A200" s="28" t="s">
        <v>56</v>
      </c>
      <c r="B200" s="28" t="s">
        <v>55</v>
      </c>
      <c r="C200" s="28" t="s">
        <v>56</v>
      </c>
      <c r="D200" s="28" t="s">
        <v>56</v>
      </c>
      <c r="E200" s="28" t="s">
        <v>55</v>
      </c>
      <c r="F200" s="28" t="s">
        <v>56</v>
      </c>
      <c r="G200" s="28" t="s">
        <v>55</v>
      </c>
      <c r="H200" s="28" t="s">
        <v>56</v>
      </c>
      <c r="I200" s="28" t="s">
        <v>55</v>
      </c>
      <c r="J200" s="28" t="s">
        <v>55</v>
      </c>
      <c r="K200" s="28" t="s">
        <v>56</v>
      </c>
      <c r="L200" s="28" t="s">
        <v>55</v>
      </c>
      <c r="M200" s="28" t="s">
        <v>55</v>
      </c>
      <c r="N200" s="28" t="s">
        <v>56</v>
      </c>
      <c r="O200" s="29">
        <v>0.32774771024146543</v>
      </c>
      <c r="P200" s="31">
        <v>9608</v>
      </c>
      <c r="Q200" s="31">
        <v>3149</v>
      </c>
    </row>
    <row r="201" spans="1:17" ht="15" customHeight="1" x14ac:dyDescent="0.4">
      <c r="A201" s="28" t="s">
        <v>56</v>
      </c>
      <c r="B201" s="28" t="s">
        <v>55</v>
      </c>
      <c r="C201" s="28" t="s">
        <v>56</v>
      </c>
      <c r="D201" s="28" t="s">
        <v>56</v>
      </c>
      <c r="E201" s="28" t="s">
        <v>55</v>
      </c>
      <c r="F201" s="28" t="s">
        <v>56</v>
      </c>
      <c r="G201" s="28" t="s">
        <v>55</v>
      </c>
      <c r="H201" s="28" t="s">
        <v>56</v>
      </c>
      <c r="I201" s="28" t="s">
        <v>55</v>
      </c>
      <c r="J201" s="28" t="s">
        <v>55</v>
      </c>
      <c r="K201" s="28" t="s">
        <v>56</v>
      </c>
      <c r="L201" s="28" t="s">
        <v>55</v>
      </c>
      <c r="M201" s="28" t="s">
        <v>56</v>
      </c>
      <c r="N201" s="28" t="s">
        <v>55</v>
      </c>
      <c r="O201" s="29">
        <v>0.32816537467700257</v>
      </c>
      <c r="P201" s="31">
        <v>774</v>
      </c>
      <c r="Q201" s="31">
        <v>254</v>
      </c>
    </row>
    <row r="202" spans="1:17" ht="15" customHeight="1" x14ac:dyDescent="0.4">
      <c r="A202" s="28" t="s">
        <v>56</v>
      </c>
      <c r="B202" s="28" t="s">
        <v>56</v>
      </c>
      <c r="C202" s="28" t="s">
        <v>55</v>
      </c>
      <c r="D202" s="28" t="s">
        <v>55</v>
      </c>
      <c r="E202" s="28" t="s">
        <v>56</v>
      </c>
      <c r="F202" s="28" t="s">
        <v>56</v>
      </c>
      <c r="G202" s="28" t="s">
        <v>55</v>
      </c>
      <c r="H202" s="28" t="s">
        <v>56</v>
      </c>
      <c r="I202" s="28" t="s">
        <v>55</v>
      </c>
      <c r="J202" s="28" t="s">
        <v>55</v>
      </c>
      <c r="K202" s="28" t="s">
        <v>56</v>
      </c>
      <c r="L202" s="28" t="s">
        <v>55</v>
      </c>
      <c r="M202" s="28" t="s">
        <v>55</v>
      </c>
      <c r="N202" s="28" t="s">
        <v>56</v>
      </c>
      <c r="O202" s="29">
        <v>0.52830188679245282</v>
      </c>
      <c r="P202" s="31">
        <v>106</v>
      </c>
      <c r="Q202" s="31">
        <v>56</v>
      </c>
    </row>
    <row r="203" spans="1:17" ht="15" customHeight="1" x14ac:dyDescent="0.4">
      <c r="A203" s="28" t="s">
        <v>56</v>
      </c>
      <c r="B203" s="28" t="s">
        <v>56</v>
      </c>
      <c r="C203" s="28" t="s">
        <v>55</v>
      </c>
      <c r="D203" s="28" t="s">
        <v>55</v>
      </c>
      <c r="E203" s="28" t="s">
        <v>56</v>
      </c>
      <c r="F203" s="28" t="s">
        <v>56</v>
      </c>
      <c r="G203" s="28" t="s">
        <v>55</v>
      </c>
      <c r="H203" s="28" t="s">
        <v>56</v>
      </c>
      <c r="I203" s="28" t="s">
        <v>55</v>
      </c>
      <c r="J203" s="28" t="s">
        <v>55</v>
      </c>
      <c r="K203" s="28" t="s">
        <v>56</v>
      </c>
      <c r="L203" s="28" t="s">
        <v>55</v>
      </c>
      <c r="M203" s="28" t="s">
        <v>56</v>
      </c>
      <c r="N203" s="28" t="s">
        <v>55</v>
      </c>
      <c r="O203" s="29">
        <v>0.52829999999999999</v>
      </c>
      <c r="P203" s="31" t="s">
        <v>57</v>
      </c>
      <c r="Q203" s="31">
        <v>12</v>
      </c>
    </row>
    <row r="204" spans="1:17" ht="15" customHeight="1" x14ac:dyDescent="0.4">
      <c r="A204" s="28" t="s">
        <v>56</v>
      </c>
      <c r="B204" s="28" t="s">
        <v>56</v>
      </c>
      <c r="C204" s="28" t="s">
        <v>55</v>
      </c>
      <c r="D204" s="28" t="s">
        <v>56</v>
      </c>
      <c r="E204" s="28" t="s">
        <v>55</v>
      </c>
      <c r="F204" s="28" t="s">
        <v>56</v>
      </c>
      <c r="G204" s="28" t="s">
        <v>55</v>
      </c>
      <c r="H204" s="28" t="s">
        <v>56</v>
      </c>
      <c r="I204" s="28" t="s">
        <v>55</v>
      </c>
      <c r="J204" s="28" t="s">
        <v>55</v>
      </c>
      <c r="K204" s="28" t="s">
        <v>56</v>
      </c>
      <c r="L204" s="28" t="s">
        <v>55</v>
      </c>
      <c r="M204" s="28" t="s">
        <v>55</v>
      </c>
      <c r="N204" s="28" t="s">
        <v>56</v>
      </c>
      <c r="O204" s="29">
        <v>0.3982532751091703</v>
      </c>
      <c r="P204" s="31">
        <v>2290</v>
      </c>
      <c r="Q204" s="31">
        <v>912</v>
      </c>
    </row>
    <row r="205" spans="1:17" ht="15" customHeight="1" x14ac:dyDescent="0.4">
      <c r="A205" s="28" t="s">
        <v>56</v>
      </c>
      <c r="B205" s="28" t="s">
        <v>56</v>
      </c>
      <c r="C205" s="28" t="s">
        <v>55</v>
      </c>
      <c r="D205" s="28" t="s">
        <v>56</v>
      </c>
      <c r="E205" s="28" t="s">
        <v>55</v>
      </c>
      <c r="F205" s="28" t="s">
        <v>56</v>
      </c>
      <c r="G205" s="28" t="s">
        <v>55</v>
      </c>
      <c r="H205" s="28" t="s">
        <v>56</v>
      </c>
      <c r="I205" s="28" t="s">
        <v>55</v>
      </c>
      <c r="J205" s="28" t="s">
        <v>55</v>
      </c>
      <c r="K205" s="28" t="s">
        <v>56</v>
      </c>
      <c r="L205" s="28" t="s">
        <v>55</v>
      </c>
      <c r="M205" s="28" t="s">
        <v>56</v>
      </c>
      <c r="N205" s="28" t="s">
        <v>55</v>
      </c>
      <c r="O205" s="29">
        <v>0.34265734265734266</v>
      </c>
      <c r="P205" s="31">
        <v>286</v>
      </c>
      <c r="Q205" s="31">
        <v>98</v>
      </c>
    </row>
    <row r="206" spans="1:17" ht="15" customHeight="1" x14ac:dyDescent="0.4">
      <c r="A206" s="28" t="s">
        <v>55</v>
      </c>
      <c r="B206" s="28" t="s">
        <v>56</v>
      </c>
      <c r="C206" s="28" t="s">
        <v>56</v>
      </c>
      <c r="D206" s="28" t="s">
        <v>55</v>
      </c>
      <c r="E206" s="28" t="s">
        <v>56</v>
      </c>
      <c r="F206" s="28" t="s">
        <v>56</v>
      </c>
      <c r="G206" s="28" t="s">
        <v>56</v>
      </c>
      <c r="H206" s="28" t="s">
        <v>55</v>
      </c>
      <c r="I206" s="28" t="s">
        <v>55</v>
      </c>
      <c r="J206" s="28" t="s">
        <v>55</v>
      </c>
      <c r="K206" s="28" t="s">
        <v>56</v>
      </c>
      <c r="L206" s="28" t="s">
        <v>55</v>
      </c>
      <c r="M206" s="28" t="s">
        <v>55</v>
      </c>
      <c r="N206" s="28" t="s">
        <v>56</v>
      </c>
      <c r="O206" s="29">
        <v>0.50495049504950495</v>
      </c>
      <c r="P206" s="31" t="s">
        <v>57</v>
      </c>
      <c r="Q206" s="31" t="s">
        <v>57</v>
      </c>
    </row>
    <row r="207" spans="1:17" ht="15" customHeight="1" x14ac:dyDescent="0.4">
      <c r="A207" s="28" t="s">
        <v>55</v>
      </c>
      <c r="B207" s="28" t="s">
        <v>56</v>
      </c>
      <c r="C207" s="28" t="s">
        <v>56</v>
      </c>
      <c r="D207" s="28" t="s">
        <v>55</v>
      </c>
      <c r="E207" s="28" t="s">
        <v>56</v>
      </c>
      <c r="F207" s="28" t="s">
        <v>56</v>
      </c>
      <c r="G207" s="28" t="s">
        <v>56</v>
      </c>
      <c r="H207" s="28" t="s">
        <v>55</v>
      </c>
      <c r="I207" s="28" t="s">
        <v>55</v>
      </c>
      <c r="J207" s="28" t="s">
        <v>55</v>
      </c>
      <c r="K207" s="28" t="s">
        <v>56</v>
      </c>
      <c r="L207" s="28" t="s">
        <v>55</v>
      </c>
      <c r="M207" s="28" t="s">
        <v>56</v>
      </c>
      <c r="N207" s="28" t="s">
        <v>55</v>
      </c>
      <c r="O207" s="29">
        <v>0.505</v>
      </c>
      <c r="P207" s="31" t="s">
        <v>57</v>
      </c>
      <c r="Q207" s="31" t="s">
        <v>57</v>
      </c>
    </row>
    <row r="208" spans="1:17" ht="15" customHeight="1" x14ac:dyDescent="0.4">
      <c r="A208" s="28" t="s">
        <v>55</v>
      </c>
      <c r="B208" s="28" t="s">
        <v>56</v>
      </c>
      <c r="C208" s="28" t="s">
        <v>56</v>
      </c>
      <c r="D208" s="28" t="s">
        <v>56</v>
      </c>
      <c r="E208" s="28" t="s">
        <v>55</v>
      </c>
      <c r="F208" s="28" t="s">
        <v>56</v>
      </c>
      <c r="G208" s="28" t="s">
        <v>56</v>
      </c>
      <c r="H208" s="28" t="s">
        <v>55</v>
      </c>
      <c r="I208" s="28" t="s">
        <v>55</v>
      </c>
      <c r="J208" s="28" t="s">
        <v>55</v>
      </c>
      <c r="K208" s="28" t="s">
        <v>56</v>
      </c>
      <c r="L208" s="28" t="s">
        <v>55</v>
      </c>
      <c r="M208" s="28" t="s">
        <v>55</v>
      </c>
      <c r="N208" s="28" t="s">
        <v>56</v>
      </c>
      <c r="O208" s="29">
        <v>0.30754716981132074</v>
      </c>
      <c r="P208" s="31" t="s">
        <v>57</v>
      </c>
      <c r="Q208" s="31" t="s">
        <v>57</v>
      </c>
    </row>
    <row r="209" spans="1:17" ht="15" customHeight="1" x14ac:dyDescent="0.4">
      <c r="A209" s="28" t="s">
        <v>55</v>
      </c>
      <c r="B209" s="28" t="s">
        <v>56</v>
      </c>
      <c r="C209" s="28" t="s">
        <v>56</v>
      </c>
      <c r="D209" s="28" t="s">
        <v>56</v>
      </c>
      <c r="E209" s="28" t="s">
        <v>55</v>
      </c>
      <c r="F209" s="28" t="s">
        <v>56</v>
      </c>
      <c r="G209" s="28" t="s">
        <v>56</v>
      </c>
      <c r="H209" s="28" t="s">
        <v>55</v>
      </c>
      <c r="I209" s="28" t="s">
        <v>55</v>
      </c>
      <c r="J209" s="28" t="s">
        <v>55</v>
      </c>
      <c r="K209" s="28" t="s">
        <v>56</v>
      </c>
      <c r="L209" s="28" t="s">
        <v>55</v>
      </c>
      <c r="M209" s="28" t="s">
        <v>56</v>
      </c>
      <c r="N209" s="28" t="s">
        <v>55</v>
      </c>
      <c r="O209" s="29">
        <v>0.35849056603773582</v>
      </c>
      <c r="P209" s="31" t="s">
        <v>57</v>
      </c>
      <c r="Q209" s="31" t="s">
        <v>57</v>
      </c>
    </row>
    <row r="210" spans="1:17" ht="15" customHeight="1" x14ac:dyDescent="0.4">
      <c r="A210" s="28" t="s">
        <v>56</v>
      </c>
      <c r="B210" s="28" t="s">
        <v>55</v>
      </c>
      <c r="C210" s="28" t="s">
        <v>56</v>
      </c>
      <c r="D210" s="28" t="s">
        <v>55</v>
      </c>
      <c r="E210" s="28" t="s">
        <v>56</v>
      </c>
      <c r="F210" s="28" t="s">
        <v>56</v>
      </c>
      <c r="G210" s="28" t="s">
        <v>56</v>
      </c>
      <c r="H210" s="28" t="s">
        <v>55</v>
      </c>
      <c r="I210" s="28" t="s">
        <v>55</v>
      </c>
      <c r="J210" s="28" t="s">
        <v>55</v>
      </c>
      <c r="K210" s="28" t="s">
        <v>56</v>
      </c>
      <c r="L210" s="28" t="s">
        <v>55</v>
      </c>
      <c r="M210" s="28" t="s">
        <v>55</v>
      </c>
      <c r="N210" s="28" t="s">
        <v>56</v>
      </c>
      <c r="O210" s="29">
        <v>0.4225484072454716</v>
      </c>
      <c r="P210" s="31" t="s">
        <v>57</v>
      </c>
      <c r="Q210" s="31" t="s">
        <v>57</v>
      </c>
    </row>
    <row r="211" spans="1:17" ht="15" customHeight="1" x14ac:dyDescent="0.4">
      <c r="A211" s="28" t="s">
        <v>56</v>
      </c>
      <c r="B211" s="28" t="s">
        <v>55</v>
      </c>
      <c r="C211" s="28" t="s">
        <v>56</v>
      </c>
      <c r="D211" s="28" t="s">
        <v>55</v>
      </c>
      <c r="E211" s="28" t="s">
        <v>56</v>
      </c>
      <c r="F211" s="28" t="s">
        <v>56</v>
      </c>
      <c r="G211" s="28" t="s">
        <v>56</v>
      </c>
      <c r="H211" s="28" t="s">
        <v>55</v>
      </c>
      <c r="I211" s="28" t="s">
        <v>55</v>
      </c>
      <c r="J211" s="28" t="s">
        <v>55</v>
      </c>
      <c r="K211" s="28" t="s">
        <v>56</v>
      </c>
      <c r="L211" s="28" t="s">
        <v>55</v>
      </c>
      <c r="M211" s="28" t="s">
        <v>56</v>
      </c>
      <c r="N211" s="28" t="s">
        <v>55</v>
      </c>
      <c r="O211" s="29">
        <v>0.3968253968253968</v>
      </c>
      <c r="P211" s="31" t="s">
        <v>57</v>
      </c>
      <c r="Q211" s="31" t="s">
        <v>57</v>
      </c>
    </row>
    <row r="212" spans="1:17" ht="15" customHeight="1" x14ac:dyDescent="0.4">
      <c r="A212" s="28" t="s">
        <v>56</v>
      </c>
      <c r="B212" s="28" t="s">
        <v>55</v>
      </c>
      <c r="C212" s="28" t="s">
        <v>56</v>
      </c>
      <c r="D212" s="28" t="s">
        <v>56</v>
      </c>
      <c r="E212" s="28" t="s">
        <v>55</v>
      </c>
      <c r="F212" s="28" t="s">
        <v>56</v>
      </c>
      <c r="G212" s="28" t="s">
        <v>56</v>
      </c>
      <c r="H212" s="28" t="s">
        <v>55</v>
      </c>
      <c r="I212" s="28" t="s">
        <v>55</v>
      </c>
      <c r="J212" s="28" t="s">
        <v>55</v>
      </c>
      <c r="K212" s="28" t="s">
        <v>56</v>
      </c>
      <c r="L212" s="28" t="s">
        <v>55</v>
      </c>
      <c r="M212" s="28" t="s">
        <v>55</v>
      </c>
      <c r="N212" s="28" t="s">
        <v>56</v>
      </c>
      <c r="O212" s="29">
        <v>0.25730994152046782</v>
      </c>
      <c r="P212" s="31">
        <v>171</v>
      </c>
      <c r="Q212" s="31">
        <v>44</v>
      </c>
    </row>
    <row r="213" spans="1:17" ht="15" customHeight="1" x14ac:dyDescent="0.4">
      <c r="A213" s="28" t="s">
        <v>56</v>
      </c>
      <c r="B213" s="28" t="s">
        <v>55</v>
      </c>
      <c r="C213" s="28" t="s">
        <v>56</v>
      </c>
      <c r="D213" s="28" t="s">
        <v>56</v>
      </c>
      <c r="E213" s="28" t="s">
        <v>55</v>
      </c>
      <c r="F213" s="28" t="s">
        <v>56</v>
      </c>
      <c r="G213" s="28" t="s">
        <v>56</v>
      </c>
      <c r="H213" s="28" t="s">
        <v>55</v>
      </c>
      <c r="I213" s="28" t="s">
        <v>55</v>
      </c>
      <c r="J213" s="28" t="s">
        <v>55</v>
      </c>
      <c r="K213" s="28" t="s">
        <v>56</v>
      </c>
      <c r="L213" s="28" t="s">
        <v>55</v>
      </c>
      <c r="M213" s="28" t="s">
        <v>56</v>
      </c>
      <c r="N213" s="28" t="s">
        <v>55</v>
      </c>
      <c r="O213" s="29">
        <v>0.24590163934426229</v>
      </c>
      <c r="P213" s="31">
        <v>61</v>
      </c>
      <c r="Q213" s="31">
        <v>15</v>
      </c>
    </row>
    <row r="214" spans="1:17" ht="15" customHeight="1" x14ac:dyDescent="0.4">
      <c r="A214" s="28" t="s">
        <v>56</v>
      </c>
      <c r="B214" s="28" t="s">
        <v>56</v>
      </c>
      <c r="C214" s="28" t="s">
        <v>55</v>
      </c>
      <c r="D214" s="28" t="s">
        <v>55</v>
      </c>
      <c r="E214" s="28" t="s">
        <v>56</v>
      </c>
      <c r="F214" s="28" t="s">
        <v>56</v>
      </c>
      <c r="G214" s="28" t="s">
        <v>56</v>
      </c>
      <c r="H214" s="28" t="s">
        <v>55</v>
      </c>
      <c r="I214" s="28" t="s">
        <v>55</v>
      </c>
      <c r="J214" s="28" t="s">
        <v>55</v>
      </c>
      <c r="K214" s="28" t="s">
        <v>56</v>
      </c>
      <c r="L214" s="28" t="s">
        <v>55</v>
      </c>
      <c r="M214" s="28" t="s">
        <v>55</v>
      </c>
      <c r="N214" s="28" t="s">
        <v>56</v>
      </c>
      <c r="O214" s="29">
        <v>0.44969199178644764</v>
      </c>
      <c r="P214" s="31" t="s">
        <v>57</v>
      </c>
      <c r="Q214" s="31" t="s">
        <v>57</v>
      </c>
    </row>
    <row r="215" spans="1:17" ht="15" customHeight="1" x14ac:dyDescent="0.4">
      <c r="A215" s="28" t="s">
        <v>56</v>
      </c>
      <c r="B215" s="28" t="s">
        <v>56</v>
      </c>
      <c r="C215" s="28" t="s">
        <v>55</v>
      </c>
      <c r="D215" s="28" t="s">
        <v>55</v>
      </c>
      <c r="E215" s="28" t="s">
        <v>56</v>
      </c>
      <c r="F215" s="28" t="s">
        <v>56</v>
      </c>
      <c r="G215" s="28" t="s">
        <v>56</v>
      </c>
      <c r="H215" s="28" t="s">
        <v>55</v>
      </c>
      <c r="I215" s="28" t="s">
        <v>55</v>
      </c>
      <c r="J215" s="28" t="s">
        <v>55</v>
      </c>
      <c r="K215" s="28" t="s">
        <v>56</v>
      </c>
      <c r="L215" s="28" t="s">
        <v>55</v>
      </c>
      <c r="M215" s="28" t="s">
        <v>56</v>
      </c>
      <c r="N215" s="28" t="s">
        <v>55</v>
      </c>
      <c r="O215" s="29">
        <v>0.44897959183673469</v>
      </c>
      <c r="P215" s="31" t="s">
        <v>57</v>
      </c>
      <c r="Q215" s="31" t="s">
        <v>57</v>
      </c>
    </row>
    <row r="216" spans="1:17" ht="15" customHeight="1" x14ac:dyDescent="0.4">
      <c r="A216" s="28" t="s">
        <v>56</v>
      </c>
      <c r="B216" s="28" t="s">
        <v>56</v>
      </c>
      <c r="C216" s="28" t="s">
        <v>55</v>
      </c>
      <c r="D216" s="28" t="s">
        <v>56</v>
      </c>
      <c r="E216" s="28" t="s">
        <v>55</v>
      </c>
      <c r="F216" s="28" t="s">
        <v>56</v>
      </c>
      <c r="G216" s="28" t="s">
        <v>56</v>
      </c>
      <c r="H216" s="28" t="s">
        <v>55</v>
      </c>
      <c r="I216" s="28" t="s">
        <v>55</v>
      </c>
      <c r="J216" s="28" t="s">
        <v>55</v>
      </c>
      <c r="K216" s="28" t="s">
        <v>56</v>
      </c>
      <c r="L216" s="28" t="s">
        <v>55</v>
      </c>
      <c r="M216" s="28" t="s">
        <v>55</v>
      </c>
      <c r="N216" s="28" t="s">
        <v>56</v>
      </c>
      <c r="O216" s="29">
        <v>0.33333333333333331</v>
      </c>
      <c r="P216" s="31">
        <v>72</v>
      </c>
      <c r="Q216" s="31">
        <v>24</v>
      </c>
    </row>
    <row r="217" spans="1:17" ht="15" customHeight="1" x14ac:dyDescent="0.4">
      <c r="A217" s="28" t="s">
        <v>56</v>
      </c>
      <c r="B217" s="28" t="s">
        <v>56</v>
      </c>
      <c r="C217" s="28" t="s">
        <v>55</v>
      </c>
      <c r="D217" s="28" t="s">
        <v>56</v>
      </c>
      <c r="E217" s="28" t="s">
        <v>55</v>
      </c>
      <c r="F217" s="28" t="s">
        <v>56</v>
      </c>
      <c r="G217" s="28" t="s">
        <v>56</v>
      </c>
      <c r="H217" s="28" t="s">
        <v>55</v>
      </c>
      <c r="I217" s="28" t="s">
        <v>55</v>
      </c>
      <c r="J217" s="28" t="s">
        <v>55</v>
      </c>
      <c r="K217" s="28" t="s">
        <v>56</v>
      </c>
      <c r="L217" s="28" t="s">
        <v>55</v>
      </c>
      <c r="M217" s="28" t="s">
        <v>56</v>
      </c>
      <c r="N217" s="28" t="s">
        <v>55</v>
      </c>
      <c r="O217" s="29">
        <v>0.4</v>
      </c>
      <c r="P217" s="31">
        <v>30</v>
      </c>
      <c r="Q217" s="31">
        <v>12</v>
      </c>
    </row>
    <row r="218" spans="1:17" ht="15" customHeight="1" x14ac:dyDescent="0.4">
      <c r="A218" s="28" t="s">
        <v>55</v>
      </c>
      <c r="B218" s="28" t="s">
        <v>56</v>
      </c>
      <c r="C218" s="28" t="s">
        <v>56</v>
      </c>
      <c r="D218" s="28" t="s">
        <v>55</v>
      </c>
      <c r="E218" s="28" t="s">
        <v>56</v>
      </c>
      <c r="F218" s="28" t="s">
        <v>55</v>
      </c>
      <c r="G218" s="28" t="s">
        <v>56</v>
      </c>
      <c r="H218" s="28" t="s">
        <v>56</v>
      </c>
      <c r="I218" s="28" t="s">
        <v>56</v>
      </c>
      <c r="J218" s="28" t="s">
        <v>56</v>
      </c>
      <c r="K218" s="28" t="s">
        <v>55</v>
      </c>
      <c r="L218" s="28" t="s">
        <v>55</v>
      </c>
      <c r="M218" s="28" t="s">
        <v>55</v>
      </c>
      <c r="N218" s="28" t="s">
        <v>56</v>
      </c>
      <c r="O218" s="29">
        <v>0.9</v>
      </c>
      <c r="P218" s="31" t="s">
        <v>57</v>
      </c>
      <c r="Q218" s="31">
        <v>22</v>
      </c>
    </row>
    <row r="219" spans="1:17" ht="15" customHeight="1" x14ac:dyDescent="0.4">
      <c r="A219" s="28" t="s">
        <v>55</v>
      </c>
      <c r="B219" s="28" t="s">
        <v>56</v>
      </c>
      <c r="C219" s="28" t="s">
        <v>56</v>
      </c>
      <c r="D219" s="28" t="s">
        <v>55</v>
      </c>
      <c r="E219" s="28" t="s">
        <v>56</v>
      </c>
      <c r="F219" s="28" t="s">
        <v>55</v>
      </c>
      <c r="G219" s="28" t="s">
        <v>56</v>
      </c>
      <c r="H219" s="28" t="s">
        <v>56</v>
      </c>
      <c r="I219" s="28" t="s">
        <v>56</v>
      </c>
      <c r="J219" s="28" t="s">
        <v>56</v>
      </c>
      <c r="K219" s="28" t="s">
        <v>55</v>
      </c>
      <c r="L219" s="28" t="s">
        <v>55</v>
      </c>
      <c r="M219" s="28" t="s">
        <v>56</v>
      </c>
      <c r="N219" s="28" t="s">
        <v>55</v>
      </c>
      <c r="O219" s="29">
        <v>0.9</v>
      </c>
      <c r="P219" s="31" t="s">
        <v>57</v>
      </c>
      <c r="Q219" s="31" t="s">
        <v>57</v>
      </c>
    </row>
    <row r="220" spans="1:17" ht="15" customHeight="1" x14ac:dyDescent="0.4">
      <c r="A220" s="28" t="s">
        <v>55</v>
      </c>
      <c r="B220" s="28" t="s">
        <v>56</v>
      </c>
      <c r="C220" s="28" t="s">
        <v>56</v>
      </c>
      <c r="D220" s="28" t="s">
        <v>56</v>
      </c>
      <c r="E220" s="28" t="s">
        <v>55</v>
      </c>
      <c r="F220" s="28" t="s">
        <v>55</v>
      </c>
      <c r="G220" s="28" t="s">
        <v>56</v>
      </c>
      <c r="H220" s="28" t="s">
        <v>56</v>
      </c>
      <c r="I220" s="28" t="s">
        <v>56</v>
      </c>
      <c r="J220" s="28" t="s">
        <v>56</v>
      </c>
      <c r="K220" s="28" t="s">
        <v>55</v>
      </c>
      <c r="L220" s="28" t="s">
        <v>55</v>
      </c>
      <c r="M220" s="28" t="s">
        <v>55</v>
      </c>
      <c r="N220" s="28" t="s">
        <v>56</v>
      </c>
      <c r="O220" s="29">
        <v>0.71472392638036808</v>
      </c>
      <c r="P220" s="31">
        <v>326</v>
      </c>
      <c r="Q220" s="31">
        <v>233</v>
      </c>
    </row>
    <row r="221" spans="1:17" ht="15" customHeight="1" x14ac:dyDescent="0.4">
      <c r="A221" s="28" t="s">
        <v>55</v>
      </c>
      <c r="B221" s="28" t="s">
        <v>56</v>
      </c>
      <c r="C221" s="28" t="s">
        <v>56</v>
      </c>
      <c r="D221" s="28" t="s">
        <v>56</v>
      </c>
      <c r="E221" s="28" t="s">
        <v>55</v>
      </c>
      <c r="F221" s="28" t="s">
        <v>55</v>
      </c>
      <c r="G221" s="28" t="s">
        <v>56</v>
      </c>
      <c r="H221" s="28" t="s">
        <v>56</v>
      </c>
      <c r="I221" s="28" t="s">
        <v>56</v>
      </c>
      <c r="J221" s="28" t="s">
        <v>56</v>
      </c>
      <c r="K221" s="28" t="s">
        <v>55</v>
      </c>
      <c r="L221" s="28" t="s">
        <v>55</v>
      </c>
      <c r="M221" s="28" t="s">
        <v>56</v>
      </c>
      <c r="N221" s="28" t="s">
        <v>55</v>
      </c>
      <c r="O221" s="29">
        <v>0.8</v>
      </c>
      <c r="P221" s="31">
        <v>55</v>
      </c>
      <c r="Q221" s="31">
        <v>44</v>
      </c>
    </row>
    <row r="222" spans="1:17" ht="15" customHeight="1" x14ac:dyDescent="0.4">
      <c r="A222" s="28" t="s">
        <v>56</v>
      </c>
      <c r="B222" s="28" t="s">
        <v>55</v>
      </c>
      <c r="C222" s="28" t="s">
        <v>56</v>
      </c>
      <c r="D222" s="28" t="s">
        <v>55</v>
      </c>
      <c r="E222" s="28" t="s">
        <v>56</v>
      </c>
      <c r="F222" s="28" t="s">
        <v>55</v>
      </c>
      <c r="G222" s="28" t="s">
        <v>56</v>
      </c>
      <c r="H222" s="28" t="s">
        <v>56</v>
      </c>
      <c r="I222" s="28" t="s">
        <v>56</v>
      </c>
      <c r="J222" s="28" t="s">
        <v>56</v>
      </c>
      <c r="K222" s="28" t="s">
        <v>55</v>
      </c>
      <c r="L222" s="28" t="s">
        <v>55</v>
      </c>
      <c r="M222" s="28" t="s">
        <v>55</v>
      </c>
      <c r="N222" s="28" t="s">
        <v>56</v>
      </c>
      <c r="O222" s="29">
        <v>0.71649484536082475</v>
      </c>
      <c r="P222" s="31">
        <v>776</v>
      </c>
      <c r="Q222" s="31">
        <v>556</v>
      </c>
    </row>
    <row r="223" spans="1:17" ht="15" customHeight="1" x14ac:dyDescent="0.4">
      <c r="A223" s="28" t="s">
        <v>56</v>
      </c>
      <c r="B223" s="28" t="s">
        <v>55</v>
      </c>
      <c r="C223" s="28" t="s">
        <v>56</v>
      </c>
      <c r="D223" s="28" t="s">
        <v>55</v>
      </c>
      <c r="E223" s="28" t="s">
        <v>56</v>
      </c>
      <c r="F223" s="28" t="s">
        <v>55</v>
      </c>
      <c r="G223" s="28" t="s">
        <v>56</v>
      </c>
      <c r="H223" s="28" t="s">
        <v>56</v>
      </c>
      <c r="I223" s="28" t="s">
        <v>56</v>
      </c>
      <c r="J223" s="28" t="s">
        <v>56</v>
      </c>
      <c r="K223" s="28" t="s">
        <v>55</v>
      </c>
      <c r="L223" s="28" t="s">
        <v>55</v>
      </c>
      <c r="M223" s="28" t="s">
        <v>56</v>
      </c>
      <c r="N223" s="28" t="s">
        <v>55</v>
      </c>
      <c r="O223" s="29">
        <v>0.67785234899328861</v>
      </c>
      <c r="P223" s="31">
        <v>149</v>
      </c>
      <c r="Q223" s="31">
        <v>101</v>
      </c>
    </row>
    <row r="224" spans="1:17" ht="15" customHeight="1" x14ac:dyDescent="0.4">
      <c r="A224" s="28" t="s">
        <v>56</v>
      </c>
      <c r="B224" s="28" t="s">
        <v>55</v>
      </c>
      <c r="C224" s="28" t="s">
        <v>56</v>
      </c>
      <c r="D224" s="28" t="s">
        <v>56</v>
      </c>
      <c r="E224" s="28" t="s">
        <v>55</v>
      </c>
      <c r="F224" s="28" t="s">
        <v>55</v>
      </c>
      <c r="G224" s="28" t="s">
        <v>56</v>
      </c>
      <c r="H224" s="28" t="s">
        <v>56</v>
      </c>
      <c r="I224" s="28" t="s">
        <v>56</v>
      </c>
      <c r="J224" s="28" t="s">
        <v>56</v>
      </c>
      <c r="K224" s="28" t="s">
        <v>55</v>
      </c>
      <c r="L224" s="28" t="s">
        <v>55</v>
      </c>
      <c r="M224" s="28" t="s">
        <v>55</v>
      </c>
      <c r="N224" s="28" t="s">
        <v>56</v>
      </c>
      <c r="O224" s="29">
        <v>0.62776911076443054</v>
      </c>
      <c r="P224" s="31">
        <v>9615</v>
      </c>
      <c r="Q224" s="31">
        <v>6036</v>
      </c>
    </row>
    <row r="225" spans="1:17" ht="15" customHeight="1" x14ac:dyDescent="0.4">
      <c r="A225" s="28" t="s">
        <v>56</v>
      </c>
      <c r="B225" s="28" t="s">
        <v>55</v>
      </c>
      <c r="C225" s="28" t="s">
        <v>56</v>
      </c>
      <c r="D225" s="28" t="s">
        <v>56</v>
      </c>
      <c r="E225" s="28" t="s">
        <v>55</v>
      </c>
      <c r="F225" s="28" t="s">
        <v>55</v>
      </c>
      <c r="G225" s="28" t="s">
        <v>56</v>
      </c>
      <c r="H225" s="28" t="s">
        <v>56</v>
      </c>
      <c r="I225" s="28" t="s">
        <v>56</v>
      </c>
      <c r="J225" s="28" t="s">
        <v>56</v>
      </c>
      <c r="K225" s="28" t="s">
        <v>55</v>
      </c>
      <c r="L225" s="28" t="s">
        <v>55</v>
      </c>
      <c r="M225" s="28" t="s">
        <v>56</v>
      </c>
      <c r="N225" s="28" t="s">
        <v>55</v>
      </c>
      <c r="O225" s="29">
        <v>0.61885412433969933</v>
      </c>
      <c r="P225" s="31">
        <v>2461</v>
      </c>
      <c r="Q225" s="31">
        <v>1523</v>
      </c>
    </row>
    <row r="226" spans="1:17" ht="15" customHeight="1" x14ac:dyDescent="0.4">
      <c r="A226" s="28" t="s">
        <v>56</v>
      </c>
      <c r="B226" s="28" t="s">
        <v>56</v>
      </c>
      <c r="C226" s="28" t="s">
        <v>55</v>
      </c>
      <c r="D226" s="28" t="s">
        <v>55</v>
      </c>
      <c r="E226" s="28" t="s">
        <v>56</v>
      </c>
      <c r="F226" s="28" t="s">
        <v>55</v>
      </c>
      <c r="G226" s="28" t="s">
        <v>56</v>
      </c>
      <c r="H226" s="28" t="s">
        <v>56</v>
      </c>
      <c r="I226" s="28" t="s">
        <v>56</v>
      </c>
      <c r="J226" s="28" t="s">
        <v>56</v>
      </c>
      <c r="K226" s="28" t="s">
        <v>55</v>
      </c>
      <c r="L226" s="28" t="s">
        <v>55</v>
      </c>
      <c r="M226" s="28" t="s">
        <v>55</v>
      </c>
      <c r="N226" s="28" t="s">
        <v>56</v>
      </c>
      <c r="O226" s="29">
        <v>0.62184873949579833</v>
      </c>
      <c r="P226" s="31">
        <v>119</v>
      </c>
      <c r="Q226" s="31">
        <v>74</v>
      </c>
    </row>
    <row r="227" spans="1:17" ht="15" customHeight="1" x14ac:dyDescent="0.4">
      <c r="A227" s="28" t="s">
        <v>56</v>
      </c>
      <c r="B227" s="28" t="s">
        <v>56</v>
      </c>
      <c r="C227" s="28" t="s">
        <v>55</v>
      </c>
      <c r="D227" s="28" t="s">
        <v>55</v>
      </c>
      <c r="E227" s="28" t="s">
        <v>56</v>
      </c>
      <c r="F227" s="28" t="s">
        <v>55</v>
      </c>
      <c r="G227" s="28" t="s">
        <v>56</v>
      </c>
      <c r="H227" s="28" t="s">
        <v>56</v>
      </c>
      <c r="I227" s="28" t="s">
        <v>56</v>
      </c>
      <c r="J227" s="28" t="s">
        <v>56</v>
      </c>
      <c r="K227" s="28" t="s">
        <v>55</v>
      </c>
      <c r="L227" s="28" t="s">
        <v>55</v>
      </c>
      <c r="M227" s="28" t="s">
        <v>56</v>
      </c>
      <c r="N227" s="28" t="s">
        <v>55</v>
      </c>
      <c r="O227" s="29">
        <v>0.62180000000000002</v>
      </c>
      <c r="P227" s="31" t="s">
        <v>57</v>
      </c>
      <c r="Q227" s="31">
        <v>27</v>
      </c>
    </row>
    <row r="228" spans="1:17" ht="15" customHeight="1" x14ac:dyDescent="0.4">
      <c r="A228" s="28" t="s">
        <v>56</v>
      </c>
      <c r="B228" s="28" t="s">
        <v>56</v>
      </c>
      <c r="C228" s="28" t="s">
        <v>55</v>
      </c>
      <c r="D228" s="28" t="s">
        <v>56</v>
      </c>
      <c r="E228" s="28" t="s">
        <v>55</v>
      </c>
      <c r="F228" s="28" t="s">
        <v>55</v>
      </c>
      <c r="G228" s="28" t="s">
        <v>56</v>
      </c>
      <c r="H228" s="28" t="s">
        <v>56</v>
      </c>
      <c r="I228" s="28" t="s">
        <v>56</v>
      </c>
      <c r="J228" s="28" t="s">
        <v>56</v>
      </c>
      <c r="K228" s="28" t="s">
        <v>55</v>
      </c>
      <c r="L228" s="28" t="s">
        <v>55</v>
      </c>
      <c r="M228" s="28" t="s">
        <v>55</v>
      </c>
      <c r="N228" s="28" t="s">
        <v>56</v>
      </c>
      <c r="O228" s="29">
        <v>0.67914783731439643</v>
      </c>
      <c r="P228" s="31">
        <v>1549</v>
      </c>
      <c r="Q228" s="31">
        <v>1052</v>
      </c>
    </row>
    <row r="229" spans="1:17" ht="15" customHeight="1" x14ac:dyDescent="0.4">
      <c r="A229" s="28" t="s">
        <v>56</v>
      </c>
      <c r="B229" s="28" t="s">
        <v>56</v>
      </c>
      <c r="C229" s="28" t="s">
        <v>55</v>
      </c>
      <c r="D229" s="28" t="s">
        <v>56</v>
      </c>
      <c r="E229" s="28" t="s">
        <v>55</v>
      </c>
      <c r="F229" s="28" t="s">
        <v>55</v>
      </c>
      <c r="G229" s="28" t="s">
        <v>56</v>
      </c>
      <c r="H229" s="28" t="s">
        <v>56</v>
      </c>
      <c r="I229" s="28" t="s">
        <v>56</v>
      </c>
      <c r="J229" s="28" t="s">
        <v>56</v>
      </c>
      <c r="K229" s="28" t="s">
        <v>55</v>
      </c>
      <c r="L229" s="28" t="s">
        <v>55</v>
      </c>
      <c r="M229" s="28" t="s">
        <v>56</v>
      </c>
      <c r="N229" s="28" t="s">
        <v>55</v>
      </c>
      <c r="O229" s="29">
        <v>0.65116279069767447</v>
      </c>
      <c r="P229" s="31">
        <v>645</v>
      </c>
      <c r="Q229" s="31">
        <v>420</v>
      </c>
    </row>
    <row r="230" spans="1:17" ht="15" customHeight="1" x14ac:dyDescent="0.4">
      <c r="A230" s="28" t="s">
        <v>55</v>
      </c>
      <c r="B230" s="28" t="s">
        <v>56</v>
      </c>
      <c r="C230" s="28" t="s">
        <v>56</v>
      </c>
      <c r="D230" s="28" t="s">
        <v>55</v>
      </c>
      <c r="E230" s="28" t="s">
        <v>56</v>
      </c>
      <c r="F230" s="28" t="s">
        <v>56</v>
      </c>
      <c r="G230" s="28" t="s">
        <v>55</v>
      </c>
      <c r="H230" s="28" t="s">
        <v>56</v>
      </c>
      <c r="I230" s="28" t="s">
        <v>56</v>
      </c>
      <c r="J230" s="28" t="s">
        <v>56</v>
      </c>
      <c r="K230" s="28" t="s">
        <v>55</v>
      </c>
      <c r="L230" s="28" t="s">
        <v>55</v>
      </c>
      <c r="M230" s="28" t="s">
        <v>55</v>
      </c>
      <c r="N230" s="28" t="s">
        <v>56</v>
      </c>
      <c r="O230" s="29">
        <v>0.9</v>
      </c>
      <c r="P230" s="31" t="s">
        <v>57</v>
      </c>
      <c r="Q230" s="31" t="s">
        <v>57</v>
      </c>
    </row>
    <row r="231" spans="1:17" ht="15" customHeight="1" x14ac:dyDescent="0.4">
      <c r="A231" s="28" t="s">
        <v>55</v>
      </c>
      <c r="B231" s="28" t="s">
        <v>56</v>
      </c>
      <c r="C231" s="28" t="s">
        <v>56</v>
      </c>
      <c r="D231" s="28" t="s">
        <v>55</v>
      </c>
      <c r="E231" s="28" t="s">
        <v>56</v>
      </c>
      <c r="F231" s="28" t="s">
        <v>56</v>
      </c>
      <c r="G231" s="28" t="s">
        <v>55</v>
      </c>
      <c r="H231" s="28" t="s">
        <v>56</v>
      </c>
      <c r="I231" s="28" t="s">
        <v>56</v>
      </c>
      <c r="J231" s="28" t="s">
        <v>56</v>
      </c>
      <c r="K231" s="28" t="s">
        <v>55</v>
      </c>
      <c r="L231" s="28" t="s">
        <v>55</v>
      </c>
      <c r="M231" s="28" t="s">
        <v>56</v>
      </c>
      <c r="N231" s="28" t="s">
        <v>55</v>
      </c>
      <c r="O231" s="29">
        <v>0.9</v>
      </c>
      <c r="P231" s="31" t="s">
        <v>57</v>
      </c>
      <c r="Q231" s="31" t="s">
        <v>57</v>
      </c>
    </row>
    <row r="232" spans="1:17" ht="15" customHeight="1" x14ac:dyDescent="0.4">
      <c r="A232" s="28" t="s">
        <v>55</v>
      </c>
      <c r="B232" s="28" t="s">
        <v>56</v>
      </c>
      <c r="C232" s="28" t="s">
        <v>56</v>
      </c>
      <c r="D232" s="28" t="s">
        <v>56</v>
      </c>
      <c r="E232" s="28" t="s">
        <v>55</v>
      </c>
      <c r="F232" s="28" t="s">
        <v>56</v>
      </c>
      <c r="G232" s="28" t="s">
        <v>55</v>
      </c>
      <c r="H232" s="28" t="s">
        <v>56</v>
      </c>
      <c r="I232" s="28" t="s">
        <v>56</v>
      </c>
      <c r="J232" s="28" t="s">
        <v>56</v>
      </c>
      <c r="K232" s="28" t="s">
        <v>55</v>
      </c>
      <c r="L232" s="28" t="s">
        <v>55</v>
      </c>
      <c r="M232" s="28" t="s">
        <v>55</v>
      </c>
      <c r="N232" s="28" t="s">
        <v>56</v>
      </c>
      <c r="O232" s="29">
        <v>0.77777777777777779</v>
      </c>
      <c r="P232" s="31">
        <v>63</v>
      </c>
      <c r="Q232" s="31">
        <v>49</v>
      </c>
    </row>
    <row r="233" spans="1:17" ht="15" customHeight="1" x14ac:dyDescent="0.4">
      <c r="A233" s="28" t="s">
        <v>55</v>
      </c>
      <c r="B233" s="28" t="s">
        <v>56</v>
      </c>
      <c r="C233" s="28" t="s">
        <v>56</v>
      </c>
      <c r="D233" s="28" t="s">
        <v>56</v>
      </c>
      <c r="E233" s="28" t="s">
        <v>55</v>
      </c>
      <c r="F233" s="28" t="s">
        <v>56</v>
      </c>
      <c r="G233" s="28" t="s">
        <v>55</v>
      </c>
      <c r="H233" s="28" t="s">
        <v>56</v>
      </c>
      <c r="I233" s="28" t="s">
        <v>56</v>
      </c>
      <c r="J233" s="28" t="s">
        <v>56</v>
      </c>
      <c r="K233" s="28" t="s">
        <v>55</v>
      </c>
      <c r="L233" s="28" t="s">
        <v>55</v>
      </c>
      <c r="M233" s="28" t="s">
        <v>56</v>
      </c>
      <c r="N233" s="28" t="s">
        <v>55</v>
      </c>
      <c r="O233" s="29">
        <v>0.77780000000000005</v>
      </c>
      <c r="P233" s="31" t="s">
        <v>57</v>
      </c>
      <c r="Q233" s="31" t="s">
        <v>57</v>
      </c>
    </row>
    <row r="234" spans="1:17" ht="15" customHeight="1" x14ac:dyDescent="0.4">
      <c r="A234" s="28" t="s">
        <v>56</v>
      </c>
      <c r="B234" s="28" t="s">
        <v>55</v>
      </c>
      <c r="C234" s="28" t="s">
        <v>56</v>
      </c>
      <c r="D234" s="28" t="s">
        <v>55</v>
      </c>
      <c r="E234" s="28" t="s">
        <v>56</v>
      </c>
      <c r="F234" s="28" t="s">
        <v>56</v>
      </c>
      <c r="G234" s="28" t="s">
        <v>55</v>
      </c>
      <c r="H234" s="28" t="s">
        <v>56</v>
      </c>
      <c r="I234" s="28" t="s">
        <v>56</v>
      </c>
      <c r="J234" s="28" t="s">
        <v>56</v>
      </c>
      <c r="K234" s="28" t="s">
        <v>55</v>
      </c>
      <c r="L234" s="28" t="s">
        <v>55</v>
      </c>
      <c r="M234" s="28" t="s">
        <v>55</v>
      </c>
      <c r="N234" s="28" t="s">
        <v>56</v>
      </c>
      <c r="O234" s="29">
        <v>0.76956521739130435</v>
      </c>
      <c r="P234" s="31">
        <v>230</v>
      </c>
      <c r="Q234" s="31">
        <v>177</v>
      </c>
    </row>
    <row r="235" spans="1:17" ht="15" customHeight="1" x14ac:dyDescent="0.4">
      <c r="A235" s="28" t="s">
        <v>56</v>
      </c>
      <c r="B235" s="28" t="s">
        <v>55</v>
      </c>
      <c r="C235" s="28" t="s">
        <v>56</v>
      </c>
      <c r="D235" s="28" t="s">
        <v>55</v>
      </c>
      <c r="E235" s="28" t="s">
        <v>56</v>
      </c>
      <c r="F235" s="28" t="s">
        <v>56</v>
      </c>
      <c r="G235" s="28" t="s">
        <v>55</v>
      </c>
      <c r="H235" s="28" t="s">
        <v>56</v>
      </c>
      <c r="I235" s="28" t="s">
        <v>56</v>
      </c>
      <c r="J235" s="28" t="s">
        <v>56</v>
      </c>
      <c r="K235" s="28" t="s">
        <v>55</v>
      </c>
      <c r="L235" s="28" t="s">
        <v>55</v>
      </c>
      <c r="M235" s="28" t="s">
        <v>56</v>
      </c>
      <c r="N235" s="28" t="s">
        <v>55</v>
      </c>
      <c r="O235" s="29">
        <v>0.76959999999999995</v>
      </c>
      <c r="P235" s="31" t="s">
        <v>57</v>
      </c>
      <c r="Q235" s="31">
        <v>12</v>
      </c>
    </row>
    <row r="236" spans="1:17" ht="15" customHeight="1" x14ac:dyDescent="0.4">
      <c r="A236" s="28" t="s">
        <v>56</v>
      </c>
      <c r="B236" s="28" t="s">
        <v>55</v>
      </c>
      <c r="C236" s="28" t="s">
        <v>56</v>
      </c>
      <c r="D236" s="28" t="s">
        <v>56</v>
      </c>
      <c r="E236" s="28" t="s">
        <v>55</v>
      </c>
      <c r="F236" s="28" t="s">
        <v>56</v>
      </c>
      <c r="G236" s="28" t="s">
        <v>55</v>
      </c>
      <c r="H236" s="28" t="s">
        <v>56</v>
      </c>
      <c r="I236" s="28" t="s">
        <v>56</v>
      </c>
      <c r="J236" s="28" t="s">
        <v>56</v>
      </c>
      <c r="K236" s="28" t="s">
        <v>55</v>
      </c>
      <c r="L236" s="28" t="s">
        <v>55</v>
      </c>
      <c r="M236" s="28" t="s">
        <v>55</v>
      </c>
      <c r="N236" s="28" t="s">
        <v>56</v>
      </c>
      <c r="O236" s="29">
        <v>0.66966398485565548</v>
      </c>
      <c r="P236" s="31">
        <v>2113</v>
      </c>
      <c r="Q236" s="31">
        <v>1415</v>
      </c>
    </row>
    <row r="237" spans="1:17" ht="15" customHeight="1" x14ac:dyDescent="0.4">
      <c r="A237" s="28" t="s">
        <v>56</v>
      </c>
      <c r="B237" s="28" t="s">
        <v>55</v>
      </c>
      <c r="C237" s="28" t="s">
        <v>56</v>
      </c>
      <c r="D237" s="28" t="s">
        <v>56</v>
      </c>
      <c r="E237" s="28" t="s">
        <v>55</v>
      </c>
      <c r="F237" s="28" t="s">
        <v>56</v>
      </c>
      <c r="G237" s="28" t="s">
        <v>55</v>
      </c>
      <c r="H237" s="28" t="s">
        <v>56</v>
      </c>
      <c r="I237" s="28" t="s">
        <v>56</v>
      </c>
      <c r="J237" s="28" t="s">
        <v>56</v>
      </c>
      <c r="K237" s="28" t="s">
        <v>55</v>
      </c>
      <c r="L237" s="28" t="s">
        <v>55</v>
      </c>
      <c r="M237" s="28" t="s">
        <v>56</v>
      </c>
      <c r="N237" s="28" t="s">
        <v>55</v>
      </c>
      <c r="O237" s="29">
        <v>0.70399999999999996</v>
      </c>
      <c r="P237" s="31">
        <v>250</v>
      </c>
      <c r="Q237" s="31">
        <v>176</v>
      </c>
    </row>
    <row r="238" spans="1:17" ht="15" customHeight="1" x14ac:dyDescent="0.4">
      <c r="A238" s="28" t="s">
        <v>56</v>
      </c>
      <c r="B238" s="28" t="s">
        <v>56</v>
      </c>
      <c r="C238" s="28" t="s">
        <v>55</v>
      </c>
      <c r="D238" s="28" t="s">
        <v>55</v>
      </c>
      <c r="E238" s="28" t="s">
        <v>56</v>
      </c>
      <c r="F238" s="28" t="s">
        <v>56</v>
      </c>
      <c r="G238" s="28" t="s">
        <v>55</v>
      </c>
      <c r="H238" s="28" t="s">
        <v>56</v>
      </c>
      <c r="I238" s="28" t="s">
        <v>56</v>
      </c>
      <c r="J238" s="28" t="s">
        <v>56</v>
      </c>
      <c r="K238" s="28" t="s">
        <v>55</v>
      </c>
      <c r="L238" s="28" t="s">
        <v>55</v>
      </c>
      <c r="M238" s="28" t="s">
        <v>55</v>
      </c>
      <c r="N238" s="28" t="s">
        <v>56</v>
      </c>
      <c r="O238" s="29">
        <v>0.9</v>
      </c>
      <c r="P238" s="31" t="s">
        <v>57</v>
      </c>
      <c r="Q238" s="31">
        <v>13</v>
      </c>
    </row>
    <row r="239" spans="1:17" ht="15" customHeight="1" x14ac:dyDescent="0.4">
      <c r="A239" s="28" t="s">
        <v>56</v>
      </c>
      <c r="B239" s="28" t="s">
        <v>56</v>
      </c>
      <c r="C239" s="28" t="s">
        <v>55</v>
      </c>
      <c r="D239" s="28" t="s">
        <v>55</v>
      </c>
      <c r="E239" s="28" t="s">
        <v>56</v>
      </c>
      <c r="F239" s="28" t="s">
        <v>56</v>
      </c>
      <c r="G239" s="28" t="s">
        <v>55</v>
      </c>
      <c r="H239" s="28" t="s">
        <v>56</v>
      </c>
      <c r="I239" s="28" t="s">
        <v>56</v>
      </c>
      <c r="J239" s="28" t="s">
        <v>56</v>
      </c>
      <c r="K239" s="28" t="s">
        <v>55</v>
      </c>
      <c r="L239" s="28" t="s">
        <v>55</v>
      </c>
      <c r="M239" s="28" t="s">
        <v>56</v>
      </c>
      <c r="N239" s="28" t="s">
        <v>55</v>
      </c>
      <c r="O239" s="29">
        <v>0.9</v>
      </c>
      <c r="P239" s="31" t="s">
        <v>57</v>
      </c>
      <c r="Q239" s="31" t="s">
        <v>57</v>
      </c>
    </row>
    <row r="240" spans="1:17" ht="15" customHeight="1" x14ac:dyDescent="0.4">
      <c r="A240" s="28" t="s">
        <v>56</v>
      </c>
      <c r="B240" s="28" t="s">
        <v>56</v>
      </c>
      <c r="C240" s="28" t="s">
        <v>55</v>
      </c>
      <c r="D240" s="28" t="s">
        <v>56</v>
      </c>
      <c r="E240" s="28" t="s">
        <v>55</v>
      </c>
      <c r="F240" s="28" t="s">
        <v>56</v>
      </c>
      <c r="G240" s="28" t="s">
        <v>55</v>
      </c>
      <c r="H240" s="28" t="s">
        <v>56</v>
      </c>
      <c r="I240" s="28" t="s">
        <v>56</v>
      </c>
      <c r="J240" s="28" t="s">
        <v>56</v>
      </c>
      <c r="K240" s="28" t="s">
        <v>55</v>
      </c>
      <c r="L240" s="28" t="s">
        <v>55</v>
      </c>
      <c r="M240" s="28" t="s">
        <v>55</v>
      </c>
      <c r="N240" s="28" t="s">
        <v>56</v>
      </c>
      <c r="O240" s="29">
        <v>0.69866666666666666</v>
      </c>
      <c r="P240" s="31">
        <v>375</v>
      </c>
      <c r="Q240" s="31">
        <v>262</v>
      </c>
    </row>
    <row r="241" spans="1:17" ht="15" customHeight="1" x14ac:dyDescent="0.4">
      <c r="A241" s="28" t="s">
        <v>56</v>
      </c>
      <c r="B241" s="28" t="s">
        <v>56</v>
      </c>
      <c r="C241" s="28" t="s">
        <v>55</v>
      </c>
      <c r="D241" s="28" t="s">
        <v>56</v>
      </c>
      <c r="E241" s="28" t="s">
        <v>55</v>
      </c>
      <c r="F241" s="28" t="s">
        <v>56</v>
      </c>
      <c r="G241" s="28" t="s">
        <v>55</v>
      </c>
      <c r="H241" s="28" t="s">
        <v>56</v>
      </c>
      <c r="I241" s="28" t="s">
        <v>56</v>
      </c>
      <c r="J241" s="28" t="s">
        <v>56</v>
      </c>
      <c r="K241" s="28" t="s">
        <v>55</v>
      </c>
      <c r="L241" s="28" t="s">
        <v>55</v>
      </c>
      <c r="M241" s="28" t="s">
        <v>56</v>
      </c>
      <c r="N241" s="28" t="s">
        <v>55</v>
      </c>
      <c r="O241" s="29">
        <v>0.75</v>
      </c>
      <c r="P241" s="31">
        <v>56</v>
      </c>
      <c r="Q241" s="31">
        <v>42</v>
      </c>
    </row>
    <row r="242" spans="1:17" ht="15" customHeight="1" x14ac:dyDescent="0.4">
      <c r="A242" s="28" t="s">
        <v>55</v>
      </c>
      <c r="B242" s="28" t="s">
        <v>56</v>
      </c>
      <c r="C242" s="28" t="s">
        <v>56</v>
      </c>
      <c r="D242" s="28" t="s">
        <v>55</v>
      </c>
      <c r="E242" s="28" t="s">
        <v>56</v>
      </c>
      <c r="F242" s="28" t="s">
        <v>56</v>
      </c>
      <c r="G242" s="28" t="s">
        <v>56</v>
      </c>
      <c r="H242" s="28" t="s">
        <v>55</v>
      </c>
      <c r="I242" s="28" t="s">
        <v>56</v>
      </c>
      <c r="J242" s="28" t="s">
        <v>56</v>
      </c>
      <c r="K242" s="28" t="s">
        <v>55</v>
      </c>
      <c r="L242" s="28" t="s">
        <v>55</v>
      </c>
      <c r="M242" s="28" t="s">
        <v>55</v>
      </c>
      <c r="N242" s="28" t="s">
        <v>56</v>
      </c>
      <c r="O242" s="29">
        <v>0.9</v>
      </c>
      <c r="P242" s="31" t="s">
        <v>57</v>
      </c>
      <c r="Q242" s="31" t="s">
        <v>57</v>
      </c>
    </row>
    <row r="243" spans="1:17" ht="15" customHeight="1" x14ac:dyDescent="0.4">
      <c r="A243" s="28" t="s">
        <v>55</v>
      </c>
      <c r="B243" s="28" t="s">
        <v>56</v>
      </c>
      <c r="C243" s="28" t="s">
        <v>56</v>
      </c>
      <c r="D243" s="28" t="s">
        <v>55</v>
      </c>
      <c r="E243" s="28" t="s">
        <v>56</v>
      </c>
      <c r="F243" s="28" t="s">
        <v>56</v>
      </c>
      <c r="G243" s="28" t="s">
        <v>56</v>
      </c>
      <c r="H243" s="28" t="s">
        <v>55</v>
      </c>
      <c r="I243" s="28" t="s">
        <v>56</v>
      </c>
      <c r="J243" s="28" t="s">
        <v>56</v>
      </c>
      <c r="K243" s="28" t="s">
        <v>55</v>
      </c>
      <c r="L243" s="28" t="s">
        <v>55</v>
      </c>
      <c r="M243" s="28" t="s">
        <v>56</v>
      </c>
      <c r="N243" s="28" t="s">
        <v>55</v>
      </c>
      <c r="O243" s="29">
        <v>0.9</v>
      </c>
      <c r="P243" s="31" t="s">
        <v>57</v>
      </c>
      <c r="Q243" s="31" t="s">
        <v>57</v>
      </c>
    </row>
    <row r="244" spans="1:17" ht="15" customHeight="1" x14ac:dyDescent="0.4">
      <c r="A244" s="28" t="s">
        <v>55</v>
      </c>
      <c r="B244" s="28" t="s">
        <v>56</v>
      </c>
      <c r="C244" s="28" t="s">
        <v>56</v>
      </c>
      <c r="D244" s="28" t="s">
        <v>56</v>
      </c>
      <c r="E244" s="28" t="s">
        <v>55</v>
      </c>
      <c r="F244" s="28" t="s">
        <v>56</v>
      </c>
      <c r="G244" s="28" t="s">
        <v>56</v>
      </c>
      <c r="H244" s="28" t="s">
        <v>55</v>
      </c>
      <c r="I244" s="28" t="s">
        <v>56</v>
      </c>
      <c r="J244" s="28" t="s">
        <v>56</v>
      </c>
      <c r="K244" s="28" t="s">
        <v>55</v>
      </c>
      <c r="L244" s="28" t="s">
        <v>55</v>
      </c>
      <c r="M244" s="28" t="s">
        <v>55</v>
      </c>
      <c r="N244" s="28" t="s">
        <v>56</v>
      </c>
      <c r="O244" s="29">
        <v>0.71472392638036808</v>
      </c>
      <c r="P244" s="31" t="s">
        <v>57</v>
      </c>
      <c r="Q244" s="31" t="s">
        <v>57</v>
      </c>
    </row>
    <row r="245" spans="1:17" ht="15" customHeight="1" x14ac:dyDescent="0.4">
      <c r="A245" s="28" t="s">
        <v>55</v>
      </c>
      <c r="B245" s="28" t="s">
        <v>56</v>
      </c>
      <c r="C245" s="28" t="s">
        <v>56</v>
      </c>
      <c r="D245" s="28" t="s">
        <v>56</v>
      </c>
      <c r="E245" s="28" t="s">
        <v>55</v>
      </c>
      <c r="F245" s="28" t="s">
        <v>56</v>
      </c>
      <c r="G245" s="28" t="s">
        <v>56</v>
      </c>
      <c r="H245" s="28" t="s">
        <v>55</v>
      </c>
      <c r="I245" s="28" t="s">
        <v>56</v>
      </c>
      <c r="J245" s="28" t="s">
        <v>56</v>
      </c>
      <c r="K245" s="28" t="s">
        <v>55</v>
      </c>
      <c r="L245" s="28" t="s">
        <v>55</v>
      </c>
      <c r="M245" s="28" t="s">
        <v>56</v>
      </c>
      <c r="N245" s="28" t="s">
        <v>55</v>
      </c>
      <c r="O245" s="29">
        <v>0.8</v>
      </c>
      <c r="P245" s="31" t="s">
        <v>57</v>
      </c>
      <c r="Q245" s="31" t="s">
        <v>57</v>
      </c>
    </row>
    <row r="246" spans="1:17" ht="15" customHeight="1" x14ac:dyDescent="0.4">
      <c r="A246" s="28" t="s">
        <v>56</v>
      </c>
      <c r="B246" s="28" t="s">
        <v>55</v>
      </c>
      <c r="C246" s="28" t="s">
        <v>56</v>
      </c>
      <c r="D246" s="28" t="s">
        <v>55</v>
      </c>
      <c r="E246" s="28" t="s">
        <v>56</v>
      </c>
      <c r="F246" s="28" t="s">
        <v>56</v>
      </c>
      <c r="G246" s="28" t="s">
        <v>56</v>
      </c>
      <c r="H246" s="28" t="s">
        <v>55</v>
      </c>
      <c r="I246" s="28" t="s">
        <v>56</v>
      </c>
      <c r="J246" s="28" t="s">
        <v>56</v>
      </c>
      <c r="K246" s="28" t="s">
        <v>55</v>
      </c>
      <c r="L246" s="28" t="s">
        <v>55</v>
      </c>
      <c r="M246" s="28" t="s">
        <v>55</v>
      </c>
      <c r="N246" s="28" t="s">
        <v>56</v>
      </c>
      <c r="O246" s="29">
        <v>0.71649484536082475</v>
      </c>
      <c r="P246" s="31" t="s">
        <v>57</v>
      </c>
      <c r="Q246" s="31" t="s">
        <v>57</v>
      </c>
    </row>
    <row r="247" spans="1:17" ht="15" customHeight="1" x14ac:dyDescent="0.4">
      <c r="A247" s="28" t="s">
        <v>56</v>
      </c>
      <c r="B247" s="28" t="s">
        <v>55</v>
      </c>
      <c r="C247" s="28" t="s">
        <v>56</v>
      </c>
      <c r="D247" s="28" t="s">
        <v>55</v>
      </c>
      <c r="E247" s="28" t="s">
        <v>56</v>
      </c>
      <c r="F247" s="28" t="s">
        <v>56</v>
      </c>
      <c r="G247" s="28" t="s">
        <v>56</v>
      </c>
      <c r="H247" s="28" t="s">
        <v>55</v>
      </c>
      <c r="I247" s="28" t="s">
        <v>56</v>
      </c>
      <c r="J247" s="28" t="s">
        <v>56</v>
      </c>
      <c r="K247" s="28" t="s">
        <v>55</v>
      </c>
      <c r="L247" s="28" t="s">
        <v>55</v>
      </c>
      <c r="M247" s="28" t="s">
        <v>56</v>
      </c>
      <c r="N247" s="28" t="s">
        <v>55</v>
      </c>
      <c r="O247" s="29">
        <v>0.67785234899328861</v>
      </c>
      <c r="P247" s="31" t="s">
        <v>57</v>
      </c>
      <c r="Q247" s="31" t="s">
        <v>57</v>
      </c>
    </row>
    <row r="248" spans="1:17" ht="15" customHeight="1" x14ac:dyDescent="0.4">
      <c r="A248" s="28" t="s">
        <v>56</v>
      </c>
      <c r="B248" s="28" t="s">
        <v>55</v>
      </c>
      <c r="C248" s="28" t="s">
        <v>56</v>
      </c>
      <c r="D248" s="28" t="s">
        <v>56</v>
      </c>
      <c r="E248" s="28" t="s">
        <v>55</v>
      </c>
      <c r="F248" s="28" t="s">
        <v>56</v>
      </c>
      <c r="G248" s="28" t="s">
        <v>56</v>
      </c>
      <c r="H248" s="28" t="s">
        <v>55</v>
      </c>
      <c r="I248" s="28" t="s">
        <v>56</v>
      </c>
      <c r="J248" s="28" t="s">
        <v>56</v>
      </c>
      <c r="K248" s="28" t="s">
        <v>55</v>
      </c>
      <c r="L248" s="28" t="s">
        <v>55</v>
      </c>
      <c r="M248" s="28" t="s">
        <v>55</v>
      </c>
      <c r="N248" s="28" t="s">
        <v>56</v>
      </c>
      <c r="O248" s="29">
        <v>0.62776911076443054</v>
      </c>
      <c r="P248" s="31" t="s">
        <v>57</v>
      </c>
      <c r="Q248" s="31">
        <v>14</v>
      </c>
    </row>
    <row r="249" spans="1:17" ht="15" customHeight="1" x14ac:dyDescent="0.4">
      <c r="A249" s="28" t="s">
        <v>56</v>
      </c>
      <c r="B249" s="28" t="s">
        <v>55</v>
      </c>
      <c r="C249" s="28" t="s">
        <v>56</v>
      </c>
      <c r="D249" s="28" t="s">
        <v>56</v>
      </c>
      <c r="E249" s="28" t="s">
        <v>55</v>
      </c>
      <c r="F249" s="28" t="s">
        <v>56</v>
      </c>
      <c r="G249" s="28" t="s">
        <v>56</v>
      </c>
      <c r="H249" s="28" t="s">
        <v>55</v>
      </c>
      <c r="I249" s="28" t="s">
        <v>56</v>
      </c>
      <c r="J249" s="28" t="s">
        <v>56</v>
      </c>
      <c r="K249" s="28" t="s">
        <v>55</v>
      </c>
      <c r="L249" s="28" t="s">
        <v>55</v>
      </c>
      <c r="M249" s="28" t="s">
        <v>56</v>
      </c>
      <c r="N249" s="28" t="s">
        <v>55</v>
      </c>
      <c r="O249" s="29">
        <v>0.61885412433969933</v>
      </c>
      <c r="P249" s="31" t="s">
        <v>57</v>
      </c>
      <c r="Q249" s="31" t="s">
        <v>57</v>
      </c>
    </row>
    <row r="250" spans="1:17" ht="15" customHeight="1" x14ac:dyDescent="0.4">
      <c r="A250" s="28" t="s">
        <v>56</v>
      </c>
      <c r="B250" s="28" t="s">
        <v>56</v>
      </c>
      <c r="C250" s="28" t="s">
        <v>55</v>
      </c>
      <c r="D250" s="28" t="s">
        <v>55</v>
      </c>
      <c r="E250" s="28" t="s">
        <v>56</v>
      </c>
      <c r="F250" s="28" t="s">
        <v>56</v>
      </c>
      <c r="G250" s="28" t="s">
        <v>56</v>
      </c>
      <c r="H250" s="28" t="s">
        <v>55</v>
      </c>
      <c r="I250" s="28" t="s">
        <v>56</v>
      </c>
      <c r="J250" s="28" t="s">
        <v>56</v>
      </c>
      <c r="K250" s="28" t="s">
        <v>55</v>
      </c>
      <c r="L250" s="28" t="s">
        <v>55</v>
      </c>
      <c r="M250" s="28" t="s">
        <v>55</v>
      </c>
      <c r="N250" s="28" t="s">
        <v>56</v>
      </c>
      <c r="O250" s="29">
        <v>0.62184873949579833</v>
      </c>
      <c r="P250" s="31" t="s">
        <v>57</v>
      </c>
      <c r="Q250" s="31" t="s">
        <v>57</v>
      </c>
    </row>
    <row r="251" spans="1:17" ht="15" customHeight="1" x14ac:dyDescent="0.4">
      <c r="A251" s="28" t="s">
        <v>56</v>
      </c>
      <c r="B251" s="28" t="s">
        <v>56</v>
      </c>
      <c r="C251" s="28" t="s">
        <v>55</v>
      </c>
      <c r="D251" s="28" t="s">
        <v>55</v>
      </c>
      <c r="E251" s="28" t="s">
        <v>56</v>
      </c>
      <c r="F251" s="28" t="s">
        <v>56</v>
      </c>
      <c r="G251" s="28" t="s">
        <v>56</v>
      </c>
      <c r="H251" s="28" t="s">
        <v>55</v>
      </c>
      <c r="I251" s="28" t="s">
        <v>56</v>
      </c>
      <c r="J251" s="28" t="s">
        <v>56</v>
      </c>
      <c r="K251" s="28" t="s">
        <v>55</v>
      </c>
      <c r="L251" s="28" t="s">
        <v>55</v>
      </c>
      <c r="M251" s="28" t="s">
        <v>56</v>
      </c>
      <c r="N251" s="28" t="s">
        <v>55</v>
      </c>
      <c r="O251" s="29">
        <v>0.62180000000000002</v>
      </c>
      <c r="P251" s="31" t="s">
        <v>57</v>
      </c>
      <c r="Q251" s="31" t="s">
        <v>57</v>
      </c>
    </row>
    <row r="252" spans="1:17" ht="15" customHeight="1" x14ac:dyDescent="0.4">
      <c r="A252" s="28" t="s">
        <v>56</v>
      </c>
      <c r="B252" s="28" t="s">
        <v>56</v>
      </c>
      <c r="C252" s="28" t="s">
        <v>55</v>
      </c>
      <c r="D252" s="28" t="s">
        <v>56</v>
      </c>
      <c r="E252" s="28" t="s">
        <v>55</v>
      </c>
      <c r="F252" s="28" t="s">
        <v>56</v>
      </c>
      <c r="G252" s="28" t="s">
        <v>56</v>
      </c>
      <c r="H252" s="28" t="s">
        <v>55</v>
      </c>
      <c r="I252" s="28" t="s">
        <v>56</v>
      </c>
      <c r="J252" s="28" t="s">
        <v>56</v>
      </c>
      <c r="K252" s="28" t="s">
        <v>55</v>
      </c>
      <c r="L252" s="28" t="s">
        <v>55</v>
      </c>
      <c r="M252" s="28" t="s">
        <v>55</v>
      </c>
      <c r="N252" s="28" t="s">
        <v>56</v>
      </c>
      <c r="O252" s="29">
        <v>0.67914783731439643</v>
      </c>
      <c r="P252" s="31" t="s">
        <v>57</v>
      </c>
      <c r="Q252" s="31" t="s">
        <v>57</v>
      </c>
    </row>
    <row r="253" spans="1:17" ht="15" customHeight="1" x14ac:dyDescent="0.4">
      <c r="A253" s="28" t="s">
        <v>56</v>
      </c>
      <c r="B253" s="28" t="s">
        <v>56</v>
      </c>
      <c r="C253" s="28" t="s">
        <v>55</v>
      </c>
      <c r="D253" s="28" t="s">
        <v>56</v>
      </c>
      <c r="E253" s="28" t="s">
        <v>55</v>
      </c>
      <c r="F253" s="28" t="s">
        <v>56</v>
      </c>
      <c r="G253" s="28" t="s">
        <v>56</v>
      </c>
      <c r="H253" s="28" t="s">
        <v>55</v>
      </c>
      <c r="I253" s="28" t="s">
        <v>56</v>
      </c>
      <c r="J253" s="28" t="s">
        <v>56</v>
      </c>
      <c r="K253" s="28" t="s">
        <v>55</v>
      </c>
      <c r="L253" s="28" t="s">
        <v>55</v>
      </c>
      <c r="M253" s="28" t="s">
        <v>56</v>
      </c>
      <c r="N253" s="28" t="s">
        <v>55</v>
      </c>
      <c r="O253" s="29">
        <v>0.65116279069767447</v>
      </c>
      <c r="P253" s="31" t="s">
        <v>57</v>
      </c>
      <c r="Q253" s="31" t="s">
        <v>57</v>
      </c>
    </row>
    <row r="254" spans="1:17" ht="15" customHeight="1" x14ac:dyDescent="0.4">
      <c r="A254" s="28" t="s">
        <v>55</v>
      </c>
      <c r="B254" s="28" t="s">
        <v>56</v>
      </c>
      <c r="C254" s="28" t="s">
        <v>56</v>
      </c>
      <c r="D254" s="28" t="s">
        <v>55</v>
      </c>
      <c r="E254" s="28" t="s">
        <v>56</v>
      </c>
      <c r="F254" s="28" t="s">
        <v>55</v>
      </c>
      <c r="G254" s="28" t="s">
        <v>56</v>
      </c>
      <c r="H254" s="28" t="s">
        <v>56</v>
      </c>
      <c r="I254" s="28" t="s">
        <v>55</v>
      </c>
      <c r="J254" s="28" t="s">
        <v>56</v>
      </c>
      <c r="K254" s="28" t="s">
        <v>55</v>
      </c>
      <c r="L254" s="28" t="s">
        <v>55</v>
      </c>
      <c r="M254" s="28" t="s">
        <v>55</v>
      </c>
      <c r="N254" s="28" t="s">
        <v>56</v>
      </c>
      <c r="O254" s="29">
        <v>0.9</v>
      </c>
      <c r="P254" s="31" t="s">
        <v>57</v>
      </c>
      <c r="Q254" s="31" t="s">
        <v>57</v>
      </c>
    </row>
    <row r="255" spans="1:17" ht="15" customHeight="1" x14ac:dyDescent="0.4">
      <c r="A255" s="28" t="s">
        <v>55</v>
      </c>
      <c r="B255" s="28" t="s">
        <v>56</v>
      </c>
      <c r="C255" s="28" t="s">
        <v>56</v>
      </c>
      <c r="D255" s="28" t="s">
        <v>55</v>
      </c>
      <c r="E255" s="28" t="s">
        <v>56</v>
      </c>
      <c r="F255" s="28" t="s">
        <v>55</v>
      </c>
      <c r="G255" s="28" t="s">
        <v>56</v>
      </c>
      <c r="H255" s="28" t="s">
        <v>56</v>
      </c>
      <c r="I255" s="28" t="s">
        <v>55</v>
      </c>
      <c r="J255" s="28" t="s">
        <v>56</v>
      </c>
      <c r="K255" s="28" t="s">
        <v>55</v>
      </c>
      <c r="L255" s="28" t="s">
        <v>55</v>
      </c>
      <c r="M255" s="28" t="s">
        <v>56</v>
      </c>
      <c r="N255" s="28" t="s">
        <v>55</v>
      </c>
      <c r="O255" s="29">
        <v>0.9</v>
      </c>
      <c r="P255" s="31" t="s">
        <v>57</v>
      </c>
      <c r="Q255" s="31" t="s">
        <v>57</v>
      </c>
    </row>
    <row r="256" spans="1:17" ht="15" customHeight="1" x14ac:dyDescent="0.4">
      <c r="A256" s="28" t="s">
        <v>55</v>
      </c>
      <c r="B256" s="28" t="s">
        <v>56</v>
      </c>
      <c r="C256" s="28" t="s">
        <v>56</v>
      </c>
      <c r="D256" s="28" t="s">
        <v>56</v>
      </c>
      <c r="E256" s="28" t="s">
        <v>55</v>
      </c>
      <c r="F256" s="28" t="s">
        <v>55</v>
      </c>
      <c r="G256" s="28" t="s">
        <v>56</v>
      </c>
      <c r="H256" s="28" t="s">
        <v>56</v>
      </c>
      <c r="I256" s="28" t="s">
        <v>55</v>
      </c>
      <c r="J256" s="28" t="s">
        <v>56</v>
      </c>
      <c r="K256" s="28" t="s">
        <v>55</v>
      </c>
      <c r="L256" s="28" t="s">
        <v>55</v>
      </c>
      <c r="M256" s="28" t="s">
        <v>55</v>
      </c>
      <c r="N256" s="28" t="s">
        <v>56</v>
      </c>
      <c r="O256" s="29">
        <v>0.71472392638036808</v>
      </c>
      <c r="P256" s="31" t="s">
        <v>57</v>
      </c>
      <c r="Q256" s="31" t="s">
        <v>57</v>
      </c>
    </row>
    <row r="257" spans="1:17" ht="15" customHeight="1" x14ac:dyDescent="0.4">
      <c r="A257" s="28" t="s">
        <v>55</v>
      </c>
      <c r="B257" s="28" t="s">
        <v>56</v>
      </c>
      <c r="C257" s="28" t="s">
        <v>56</v>
      </c>
      <c r="D257" s="28" t="s">
        <v>56</v>
      </c>
      <c r="E257" s="28" t="s">
        <v>55</v>
      </c>
      <c r="F257" s="28" t="s">
        <v>55</v>
      </c>
      <c r="G257" s="28" t="s">
        <v>56</v>
      </c>
      <c r="H257" s="28" t="s">
        <v>56</v>
      </c>
      <c r="I257" s="28" t="s">
        <v>55</v>
      </c>
      <c r="J257" s="28" t="s">
        <v>56</v>
      </c>
      <c r="K257" s="28" t="s">
        <v>55</v>
      </c>
      <c r="L257" s="28" t="s">
        <v>55</v>
      </c>
      <c r="M257" s="28" t="s">
        <v>56</v>
      </c>
      <c r="N257" s="28" t="s">
        <v>55</v>
      </c>
      <c r="O257" s="29">
        <v>0.8</v>
      </c>
      <c r="P257" s="31" t="s">
        <v>57</v>
      </c>
      <c r="Q257" s="31" t="s">
        <v>57</v>
      </c>
    </row>
    <row r="258" spans="1:17" ht="15" customHeight="1" x14ac:dyDescent="0.4">
      <c r="A258" s="28" t="s">
        <v>56</v>
      </c>
      <c r="B258" s="28" t="s">
        <v>55</v>
      </c>
      <c r="C258" s="28" t="s">
        <v>56</v>
      </c>
      <c r="D258" s="28" t="s">
        <v>55</v>
      </c>
      <c r="E258" s="28" t="s">
        <v>56</v>
      </c>
      <c r="F258" s="28" t="s">
        <v>55</v>
      </c>
      <c r="G258" s="28" t="s">
        <v>56</v>
      </c>
      <c r="H258" s="28" t="s">
        <v>56</v>
      </c>
      <c r="I258" s="28" t="s">
        <v>55</v>
      </c>
      <c r="J258" s="28" t="s">
        <v>56</v>
      </c>
      <c r="K258" s="28" t="s">
        <v>55</v>
      </c>
      <c r="L258" s="28" t="s">
        <v>55</v>
      </c>
      <c r="M258" s="28" t="s">
        <v>55</v>
      </c>
      <c r="N258" s="28" t="s">
        <v>56</v>
      </c>
      <c r="O258" s="29">
        <v>0.91176470588235292</v>
      </c>
      <c r="P258" s="31">
        <v>136</v>
      </c>
      <c r="Q258" s="31">
        <v>124</v>
      </c>
    </row>
    <row r="259" spans="1:17" ht="15" customHeight="1" x14ac:dyDescent="0.4">
      <c r="A259" s="28" t="s">
        <v>56</v>
      </c>
      <c r="B259" s="28" t="s">
        <v>55</v>
      </c>
      <c r="C259" s="28" t="s">
        <v>56</v>
      </c>
      <c r="D259" s="28" t="s">
        <v>55</v>
      </c>
      <c r="E259" s="28" t="s">
        <v>56</v>
      </c>
      <c r="F259" s="28" t="s">
        <v>55</v>
      </c>
      <c r="G259" s="28" t="s">
        <v>56</v>
      </c>
      <c r="H259" s="28" t="s">
        <v>56</v>
      </c>
      <c r="I259" s="28" t="s">
        <v>55</v>
      </c>
      <c r="J259" s="28" t="s">
        <v>56</v>
      </c>
      <c r="K259" s="28" t="s">
        <v>55</v>
      </c>
      <c r="L259" s="28" t="s">
        <v>55</v>
      </c>
      <c r="M259" s="28" t="s">
        <v>56</v>
      </c>
      <c r="N259" s="28" t="s">
        <v>55</v>
      </c>
      <c r="O259" s="29">
        <v>0.91180000000000005</v>
      </c>
      <c r="P259" s="31" t="s">
        <v>57</v>
      </c>
      <c r="Q259" s="31" t="s">
        <v>57</v>
      </c>
    </row>
    <row r="260" spans="1:17" ht="15" customHeight="1" x14ac:dyDescent="0.4">
      <c r="A260" s="28" t="s">
        <v>56</v>
      </c>
      <c r="B260" s="28" t="s">
        <v>55</v>
      </c>
      <c r="C260" s="28" t="s">
        <v>56</v>
      </c>
      <c r="D260" s="28" t="s">
        <v>56</v>
      </c>
      <c r="E260" s="28" t="s">
        <v>55</v>
      </c>
      <c r="F260" s="28" t="s">
        <v>55</v>
      </c>
      <c r="G260" s="28" t="s">
        <v>56</v>
      </c>
      <c r="H260" s="28" t="s">
        <v>56</v>
      </c>
      <c r="I260" s="28" t="s">
        <v>55</v>
      </c>
      <c r="J260" s="28" t="s">
        <v>56</v>
      </c>
      <c r="K260" s="28" t="s">
        <v>55</v>
      </c>
      <c r="L260" s="28" t="s">
        <v>55</v>
      </c>
      <c r="M260" s="28" t="s">
        <v>55</v>
      </c>
      <c r="N260" s="28" t="s">
        <v>56</v>
      </c>
      <c r="O260" s="29">
        <v>0.79959100204498978</v>
      </c>
      <c r="P260" s="31">
        <v>978</v>
      </c>
      <c r="Q260" s="31">
        <v>782</v>
      </c>
    </row>
    <row r="261" spans="1:17" ht="15" customHeight="1" x14ac:dyDescent="0.4">
      <c r="A261" s="28" t="s">
        <v>56</v>
      </c>
      <c r="B261" s="28" t="s">
        <v>55</v>
      </c>
      <c r="C261" s="28" t="s">
        <v>56</v>
      </c>
      <c r="D261" s="28" t="s">
        <v>56</v>
      </c>
      <c r="E261" s="28" t="s">
        <v>55</v>
      </c>
      <c r="F261" s="28" t="s">
        <v>55</v>
      </c>
      <c r="G261" s="28" t="s">
        <v>56</v>
      </c>
      <c r="H261" s="28" t="s">
        <v>56</v>
      </c>
      <c r="I261" s="28" t="s">
        <v>55</v>
      </c>
      <c r="J261" s="28" t="s">
        <v>56</v>
      </c>
      <c r="K261" s="28" t="s">
        <v>55</v>
      </c>
      <c r="L261" s="28" t="s">
        <v>55</v>
      </c>
      <c r="M261" s="28" t="s">
        <v>56</v>
      </c>
      <c r="N261" s="28" t="s">
        <v>55</v>
      </c>
      <c r="O261" s="29">
        <v>0.75974025974025972</v>
      </c>
      <c r="P261" s="31">
        <v>154</v>
      </c>
      <c r="Q261" s="31">
        <v>117</v>
      </c>
    </row>
    <row r="262" spans="1:17" ht="15" customHeight="1" x14ac:dyDescent="0.4">
      <c r="A262" s="28" t="s">
        <v>56</v>
      </c>
      <c r="B262" s="28" t="s">
        <v>56</v>
      </c>
      <c r="C262" s="28" t="s">
        <v>55</v>
      </c>
      <c r="D262" s="28" t="s">
        <v>55</v>
      </c>
      <c r="E262" s="28" t="s">
        <v>56</v>
      </c>
      <c r="F262" s="28" t="s">
        <v>55</v>
      </c>
      <c r="G262" s="28" t="s">
        <v>56</v>
      </c>
      <c r="H262" s="28" t="s">
        <v>56</v>
      </c>
      <c r="I262" s="28" t="s">
        <v>55</v>
      </c>
      <c r="J262" s="28" t="s">
        <v>56</v>
      </c>
      <c r="K262" s="28" t="s">
        <v>55</v>
      </c>
      <c r="L262" s="28" t="s">
        <v>55</v>
      </c>
      <c r="M262" s="28" t="s">
        <v>55</v>
      </c>
      <c r="N262" s="28" t="s">
        <v>56</v>
      </c>
      <c r="O262" s="29">
        <v>0.95</v>
      </c>
      <c r="P262" s="31" t="s">
        <v>57</v>
      </c>
      <c r="Q262" s="31">
        <v>24</v>
      </c>
    </row>
    <row r="263" spans="1:17" ht="15" customHeight="1" x14ac:dyDescent="0.4">
      <c r="A263" s="28" t="s">
        <v>56</v>
      </c>
      <c r="B263" s="28" t="s">
        <v>56</v>
      </c>
      <c r="C263" s="28" t="s">
        <v>55</v>
      </c>
      <c r="D263" s="28" t="s">
        <v>55</v>
      </c>
      <c r="E263" s="28" t="s">
        <v>56</v>
      </c>
      <c r="F263" s="28" t="s">
        <v>55</v>
      </c>
      <c r="G263" s="28" t="s">
        <v>56</v>
      </c>
      <c r="H263" s="28" t="s">
        <v>56</v>
      </c>
      <c r="I263" s="28" t="s">
        <v>55</v>
      </c>
      <c r="J263" s="28" t="s">
        <v>56</v>
      </c>
      <c r="K263" s="28" t="s">
        <v>55</v>
      </c>
      <c r="L263" s="28" t="s">
        <v>55</v>
      </c>
      <c r="M263" s="28" t="s">
        <v>56</v>
      </c>
      <c r="N263" s="28" t="s">
        <v>55</v>
      </c>
      <c r="O263" s="29">
        <v>0.95</v>
      </c>
      <c r="P263" s="31" t="s">
        <v>57</v>
      </c>
      <c r="Q263" s="31" t="s">
        <v>57</v>
      </c>
    </row>
    <row r="264" spans="1:17" ht="15" customHeight="1" x14ac:dyDescent="0.4">
      <c r="A264" s="28" t="s">
        <v>56</v>
      </c>
      <c r="B264" s="28" t="s">
        <v>56</v>
      </c>
      <c r="C264" s="28" t="s">
        <v>55</v>
      </c>
      <c r="D264" s="28" t="s">
        <v>56</v>
      </c>
      <c r="E264" s="28" t="s">
        <v>55</v>
      </c>
      <c r="F264" s="28" t="s">
        <v>55</v>
      </c>
      <c r="G264" s="28" t="s">
        <v>56</v>
      </c>
      <c r="H264" s="28" t="s">
        <v>56</v>
      </c>
      <c r="I264" s="28" t="s">
        <v>55</v>
      </c>
      <c r="J264" s="28" t="s">
        <v>56</v>
      </c>
      <c r="K264" s="28" t="s">
        <v>55</v>
      </c>
      <c r="L264" s="28" t="s">
        <v>55</v>
      </c>
      <c r="M264" s="28" t="s">
        <v>55</v>
      </c>
      <c r="N264" s="28" t="s">
        <v>56</v>
      </c>
      <c r="O264" s="29">
        <v>0.87142857142857144</v>
      </c>
      <c r="P264" s="31">
        <v>210</v>
      </c>
      <c r="Q264" s="31">
        <v>183</v>
      </c>
    </row>
    <row r="265" spans="1:17" ht="15" customHeight="1" x14ac:dyDescent="0.4">
      <c r="A265" s="28" t="s">
        <v>56</v>
      </c>
      <c r="B265" s="28" t="s">
        <v>56</v>
      </c>
      <c r="C265" s="28" t="s">
        <v>55</v>
      </c>
      <c r="D265" s="28" t="s">
        <v>56</v>
      </c>
      <c r="E265" s="28" t="s">
        <v>55</v>
      </c>
      <c r="F265" s="28" t="s">
        <v>55</v>
      </c>
      <c r="G265" s="28" t="s">
        <v>56</v>
      </c>
      <c r="H265" s="28" t="s">
        <v>56</v>
      </c>
      <c r="I265" s="28" t="s">
        <v>55</v>
      </c>
      <c r="J265" s="28" t="s">
        <v>56</v>
      </c>
      <c r="K265" s="28" t="s">
        <v>55</v>
      </c>
      <c r="L265" s="28" t="s">
        <v>55</v>
      </c>
      <c r="M265" s="28" t="s">
        <v>56</v>
      </c>
      <c r="N265" s="28" t="s">
        <v>55</v>
      </c>
      <c r="O265" s="29">
        <v>0.78846153846153844</v>
      </c>
      <c r="P265" s="31">
        <v>52</v>
      </c>
      <c r="Q265" s="31">
        <v>41</v>
      </c>
    </row>
    <row r="266" spans="1:17" ht="15" customHeight="1" x14ac:dyDescent="0.4">
      <c r="A266" s="28" t="s">
        <v>55</v>
      </c>
      <c r="B266" s="28" t="s">
        <v>56</v>
      </c>
      <c r="C266" s="28" t="s">
        <v>56</v>
      </c>
      <c r="D266" s="28" t="s">
        <v>55</v>
      </c>
      <c r="E266" s="28" t="s">
        <v>56</v>
      </c>
      <c r="F266" s="28" t="s">
        <v>56</v>
      </c>
      <c r="G266" s="28" t="s">
        <v>55</v>
      </c>
      <c r="H266" s="28" t="s">
        <v>56</v>
      </c>
      <c r="I266" s="28" t="s">
        <v>55</v>
      </c>
      <c r="J266" s="28" t="s">
        <v>56</v>
      </c>
      <c r="K266" s="28" t="s">
        <v>55</v>
      </c>
      <c r="L266" s="28" t="s">
        <v>55</v>
      </c>
      <c r="M266" s="28" t="s">
        <v>55</v>
      </c>
      <c r="N266" s="28" t="s">
        <v>56</v>
      </c>
      <c r="O266" s="29">
        <v>0.9</v>
      </c>
      <c r="P266" s="31" t="s">
        <v>57</v>
      </c>
      <c r="Q266" s="31" t="s">
        <v>57</v>
      </c>
    </row>
    <row r="267" spans="1:17" ht="15" customHeight="1" x14ac:dyDescent="0.4">
      <c r="A267" s="28" t="s">
        <v>55</v>
      </c>
      <c r="B267" s="28" t="s">
        <v>56</v>
      </c>
      <c r="C267" s="28" t="s">
        <v>56</v>
      </c>
      <c r="D267" s="28" t="s">
        <v>55</v>
      </c>
      <c r="E267" s="28" t="s">
        <v>56</v>
      </c>
      <c r="F267" s="28" t="s">
        <v>56</v>
      </c>
      <c r="G267" s="28" t="s">
        <v>55</v>
      </c>
      <c r="H267" s="28" t="s">
        <v>56</v>
      </c>
      <c r="I267" s="28" t="s">
        <v>55</v>
      </c>
      <c r="J267" s="28" t="s">
        <v>56</v>
      </c>
      <c r="K267" s="28" t="s">
        <v>55</v>
      </c>
      <c r="L267" s="28" t="s">
        <v>55</v>
      </c>
      <c r="M267" s="28" t="s">
        <v>56</v>
      </c>
      <c r="N267" s="28" t="s">
        <v>55</v>
      </c>
      <c r="O267" s="29">
        <v>0.9</v>
      </c>
      <c r="P267" s="31" t="s">
        <v>57</v>
      </c>
      <c r="Q267" s="31" t="s">
        <v>57</v>
      </c>
    </row>
    <row r="268" spans="1:17" ht="15" customHeight="1" x14ac:dyDescent="0.4">
      <c r="A268" s="28" t="s">
        <v>55</v>
      </c>
      <c r="B268" s="28" t="s">
        <v>56</v>
      </c>
      <c r="C268" s="28" t="s">
        <v>56</v>
      </c>
      <c r="D268" s="28" t="s">
        <v>56</v>
      </c>
      <c r="E268" s="28" t="s">
        <v>55</v>
      </c>
      <c r="F268" s="28" t="s">
        <v>56</v>
      </c>
      <c r="G268" s="28" t="s">
        <v>55</v>
      </c>
      <c r="H268" s="28" t="s">
        <v>56</v>
      </c>
      <c r="I268" s="28" t="s">
        <v>55</v>
      </c>
      <c r="J268" s="28" t="s">
        <v>56</v>
      </c>
      <c r="K268" s="28" t="s">
        <v>55</v>
      </c>
      <c r="L268" s="28" t="s">
        <v>55</v>
      </c>
      <c r="M268" s="28" t="s">
        <v>55</v>
      </c>
      <c r="N268" s="28" t="s">
        <v>56</v>
      </c>
      <c r="O268" s="29">
        <v>0.71472392638036808</v>
      </c>
      <c r="P268" s="31" t="s">
        <v>57</v>
      </c>
      <c r="Q268" s="31" t="s">
        <v>57</v>
      </c>
    </row>
    <row r="269" spans="1:17" ht="15" customHeight="1" x14ac:dyDescent="0.4">
      <c r="A269" s="28" t="s">
        <v>55</v>
      </c>
      <c r="B269" s="28" t="s">
        <v>56</v>
      </c>
      <c r="C269" s="28" t="s">
        <v>56</v>
      </c>
      <c r="D269" s="28" t="s">
        <v>56</v>
      </c>
      <c r="E269" s="28" t="s">
        <v>55</v>
      </c>
      <c r="F269" s="28" t="s">
        <v>56</v>
      </c>
      <c r="G269" s="28" t="s">
        <v>55</v>
      </c>
      <c r="H269" s="28" t="s">
        <v>56</v>
      </c>
      <c r="I269" s="28" t="s">
        <v>55</v>
      </c>
      <c r="J269" s="28" t="s">
        <v>56</v>
      </c>
      <c r="K269" s="28" t="s">
        <v>55</v>
      </c>
      <c r="L269" s="28" t="s">
        <v>55</v>
      </c>
      <c r="M269" s="28" t="s">
        <v>56</v>
      </c>
      <c r="N269" s="28" t="s">
        <v>55</v>
      </c>
      <c r="O269" s="29">
        <v>0.8</v>
      </c>
      <c r="P269" s="31" t="s">
        <v>57</v>
      </c>
      <c r="Q269" s="31" t="s">
        <v>57</v>
      </c>
    </row>
    <row r="270" spans="1:17" ht="15" customHeight="1" x14ac:dyDescent="0.4">
      <c r="A270" s="28" t="s">
        <v>56</v>
      </c>
      <c r="B270" s="28" t="s">
        <v>55</v>
      </c>
      <c r="C270" s="28" t="s">
        <v>56</v>
      </c>
      <c r="D270" s="28" t="s">
        <v>55</v>
      </c>
      <c r="E270" s="28" t="s">
        <v>56</v>
      </c>
      <c r="F270" s="28" t="s">
        <v>56</v>
      </c>
      <c r="G270" s="28" t="s">
        <v>55</v>
      </c>
      <c r="H270" s="28" t="s">
        <v>56</v>
      </c>
      <c r="I270" s="28" t="s">
        <v>55</v>
      </c>
      <c r="J270" s="28" t="s">
        <v>56</v>
      </c>
      <c r="K270" s="28" t="s">
        <v>55</v>
      </c>
      <c r="L270" s="28" t="s">
        <v>55</v>
      </c>
      <c r="M270" s="28" t="s">
        <v>55</v>
      </c>
      <c r="N270" s="28" t="s">
        <v>56</v>
      </c>
      <c r="O270" s="29">
        <v>0.91176470588235292</v>
      </c>
      <c r="P270" s="31" t="s">
        <v>57</v>
      </c>
      <c r="Q270" s="31">
        <v>70</v>
      </c>
    </row>
    <row r="271" spans="1:17" ht="15" customHeight="1" x14ac:dyDescent="0.4">
      <c r="A271" s="28" t="s">
        <v>56</v>
      </c>
      <c r="B271" s="28" t="s">
        <v>55</v>
      </c>
      <c r="C271" s="28" t="s">
        <v>56</v>
      </c>
      <c r="D271" s="28" t="s">
        <v>55</v>
      </c>
      <c r="E271" s="28" t="s">
        <v>56</v>
      </c>
      <c r="F271" s="28" t="s">
        <v>56</v>
      </c>
      <c r="G271" s="28" t="s">
        <v>55</v>
      </c>
      <c r="H271" s="28" t="s">
        <v>56</v>
      </c>
      <c r="I271" s="28" t="s">
        <v>55</v>
      </c>
      <c r="J271" s="28" t="s">
        <v>56</v>
      </c>
      <c r="K271" s="28" t="s">
        <v>55</v>
      </c>
      <c r="L271" s="28" t="s">
        <v>55</v>
      </c>
      <c r="M271" s="28" t="s">
        <v>56</v>
      </c>
      <c r="N271" s="28" t="s">
        <v>55</v>
      </c>
      <c r="O271" s="29">
        <v>0.91180000000000005</v>
      </c>
      <c r="P271" s="31" t="s">
        <v>57</v>
      </c>
      <c r="Q271" s="31" t="s">
        <v>57</v>
      </c>
    </row>
    <row r="272" spans="1:17" ht="15" customHeight="1" x14ac:dyDescent="0.4">
      <c r="A272" s="28" t="s">
        <v>56</v>
      </c>
      <c r="B272" s="28" t="s">
        <v>55</v>
      </c>
      <c r="C272" s="28" t="s">
        <v>56</v>
      </c>
      <c r="D272" s="28" t="s">
        <v>56</v>
      </c>
      <c r="E272" s="28" t="s">
        <v>55</v>
      </c>
      <c r="F272" s="28" t="s">
        <v>56</v>
      </c>
      <c r="G272" s="28" t="s">
        <v>55</v>
      </c>
      <c r="H272" s="28" t="s">
        <v>56</v>
      </c>
      <c r="I272" s="28" t="s">
        <v>55</v>
      </c>
      <c r="J272" s="28" t="s">
        <v>56</v>
      </c>
      <c r="K272" s="28" t="s">
        <v>55</v>
      </c>
      <c r="L272" s="28" t="s">
        <v>55</v>
      </c>
      <c r="M272" s="28" t="s">
        <v>55</v>
      </c>
      <c r="N272" s="28" t="s">
        <v>56</v>
      </c>
      <c r="O272" s="29">
        <v>0.80821917808219179</v>
      </c>
      <c r="P272" s="31">
        <v>365</v>
      </c>
      <c r="Q272" s="31">
        <v>295</v>
      </c>
    </row>
    <row r="273" spans="1:17" ht="15" customHeight="1" x14ac:dyDescent="0.4">
      <c r="A273" s="28" t="s">
        <v>56</v>
      </c>
      <c r="B273" s="28" t="s">
        <v>55</v>
      </c>
      <c r="C273" s="28" t="s">
        <v>56</v>
      </c>
      <c r="D273" s="28" t="s">
        <v>56</v>
      </c>
      <c r="E273" s="28" t="s">
        <v>55</v>
      </c>
      <c r="F273" s="28" t="s">
        <v>56</v>
      </c>
      <c r="G273" s="28" t="s">
        <v>55</v>
      </c>
      <c r="H273" s="28" t="s">
        <v>56</v>
      </c>
      <c r="I273" s="28" t="s">
        <v>55</v>
      </c>
      <c r="J273" s="28" t="s">
        <v>56</v>
      </c>
      <c r="K273" s="28" t="s">
        <v>55</v>
      </c>
      <c r="L273" s="28" t="s">
        <v>55</v>
      </c>
      <c r="M273" s="28" t="s">
        <v>56</v>
      </c>
      <c r="N273" s="28" t="s">
        <v>55</v>
      </c>
      <c r="O273" s="29">
        <v>0.80820000000000003</v>
      </c>
      <c r="P273" s="31" t="s">
        <v>57</v>
      </c>
      <c r="Q273" s="31">
        <v>32</v>
      </c>
    </row>
    <row r="274" spans="1:17" ht="15" customHeight="1" x14ac:dyDescent="0.4">
      <c r="A274" s="28" t="s">
        <v>56</v>
      </c>
      <c r="B274" s="28" t="s">
        <v>56</v>
      </c>
      <c r="C274" s="28" t="s">
        <v>55</v>
      </c>
      <c r="D274" s="28" t="s">
        <v>55</v>
      </c>
      <c r="E274" s="28" t="s">
        <v>56</v>
      </c>
      <c r="F274" s="28" t="s">
        <v>56</v>
      </c>
      <c r="G274" s="28" t="s">
        <v>55</v>
      </c>
      <c r="H274" s="28" t="s">
        <v>56</v>
      </c>
      <c r="I274" s="28" t="s">
        <v>55</v>
      </c>
      <c r="J274" s="28" t="s">
        <v>56</v>
      </c>
      <c r="K274" s="28" t="s">
        <v>55</v>
      </c>
      <c r="L274" s="28" t="s">
        <v>55</v>
      </c>
      <c r="M274" s="28" t="s">
        <v>55</v>
      </c>
      <c r="N274" s="28" t="s">
        <v>56</v>
      </c>
      <c r="O274" s="29">
        <v>0.95</v>
      </c>
      <c r="P274" s="31" t="s">
        <v>57</v>
      </c>
      <c r="Q274" s="31" t="s">
        <v>57</v>
      </c>
    </row>
    <row r="275" spans="1:17" ht="15" customHeight="1" x14ac:dyDescent="0.4">
      <c r="A275" s="28" t="s">
        <v>56</v>
      </c>
      <c r="B275" s="28" t="s">
        <v>56</v>
      </c>
      <c r="C275" s="28" t="s">
        <v>55</v>
      </c>
      <c r="D275" s="28" t="s">
        <v>55</v>
      </c>
      <c r="E275" s="28" t="s">
        <v>56</v>
      </c>
      <c r="F275" s="28" t="s">
        <v>56</v>
      </c>
      <c r="G275" s="28" t="s">
        <v>55</v>
      </c>
      <c r="H275" s="28" t="s">
        <v>56</v>
      </c>
      <c r="I275" s="28" t="s">
        <v>55</v>
      </c>
      <c r="J275" s="28" t="s">
        <v>56</v>
      </c>
      <c r="K275" s="28" t="s">
        <v>55</v>
      </c>
      <c r="L275" s="28" t="s">
        <v>55</v>
      </c>
      <c r="M275" s="28" t="s">
        <v>56</v>
      </c>
      <c r="N275" s="28" t="s">
        <v>55</v>
      </c>
      <c r="O275" s="29">
        <v>0.95</v>
      </c>
      <c r="P275" s="31" t="s">
        <v>57</v>
      </c>
      <c r="Q275" s="31" t="s">
        <v>57</v>
      </c>
    </row>
    <row r="276" spans="1:17" ht="15" customHeight="1" x14ac:dyDescent="0.4">
      <c r="A276" s="28" t="s">
        <v>56</v>
      </c>
      <c r="B276" s="28" t="s">
        <v>56</v>
      </c>
      <c r="C276" s="28" t="s">
        <v>55</v>
      </c>
      <c r="D276" s="28" t="s">
        <v>56</v>
      </c>
      <c r="E276" s="28" t="s">
        <v>55</v>
      </c>
      <c r="F276" s="28" t="s">
        <v>56</v>
      </c>
      <c r="G276" s="28" t="s">
        <v>55</v>
      </c>
      <c r="H276" s="28" t="s">
        <v>56</v>
      </c>
      <c r="I276" s="28" t="s">
        <v>55</v>
      </c>
      <c r="J276" s="28" t="s">
        <v>56</v>
      </c>
      <c r="K276" s="28" t="s">
        <v>55</v>
      </c>
      <c r="L276" s="28" t="s">
        <v>55</v>
      </c>
      <c r="M276" s="28" t="s">
        <v>55</v>
      </c>
      <c r="N276" s="28" t="s">
        <v>56</v>
      </c>
      <c r="O276" s="29">
        <v>0.85</v>
      </c>
      <c r="P276" s="31" t="s">
        <v>57</v>
      </c>
      <c r="Q276" s="31">
        <v>75</v>
      </c>
    </row>
    <row r="277" spans="1:17" ht="15" customHeight="1" x14ac:dyDescent="0.4">
      <c r="A277" s="28" t="s">
        <v>56</v>
      </c>
      <c r="B277" s="28" t="s">
        <v>56</v>
      </c>
      <c r="C277" s="28" t="s">
        <v>55</v>
      </c>
      <c r="D277" s="28" t="s">
        <v>56</v>
      </c>
      <c r="E277" s="28" t="s">
        <v>55</v>
      </c>
      <c r="F277" s="28" t="s">
        <v>56</v>
      </c>
      <c r="G277" s="28" t="s">
        <v>55</v>
      </c>
      <c r="H277" s="28" t="s">
        <v>56</v>
      </c>
      <c r="I277" s="28" t="s">
        <v>55</v>
      </c>
      <c r="J277" s="28" t="s">
        <v>56</v>
      </c>
      <c r="K277" s="28" t="s">
        <v>55</v>
      </c>
      <c r="L277" s="28" t="s">
        <v>55</v>
      </c>
      <c r="M277" s="28" t="s">
        <v>56</v>
      </c>
      <c r="N277" s="28" t="s">
        <v>55</v>
      </c>
      <c r="O277" s="29">
        <v>0.85</v>
      </c>
      <c r="P277" s="31" t="s">
        <v>57</v>
      </c>
      <c r="Q277" s="31" t="s">
        <v>57</v>
      </c>
    </row>
    <row r="278" spans="1:17" ht="15" customHeight="1" x14ac:dyDescent="0.4">
      <c r="A278" s="28" t="s">
        <v>55</v>
      </c>
      <c r="B278" s="28" t="s">
        <v>56</v>
      </c>
      <c r="C278" s="28" t="s">
        <v>56</v>
      </c>
      <c r="D278" s="28" t="s">
        <v>55</v>
      </c>
      <c r="E278" s="28" t="s">
        <v>56</v>
      </c>
      <c r="F278" s="28" t="s">
        <v>56</v>
      </c>
      <c r="G278" s="28" t="s">
        <v>56</v>
      </c>
      <c r="H278" s="28" t="s">
        <v>55</v>
      </c>
      <c r="I278" s="28" t="s">
        <v>55</v>
      </c>
      <c r="J278" s="28" t="s">
        <v>56</v>
      </c>
      <c r="K278" s="28" t="s">
        <v>55</v>
      </c>
      <c r="L278" s="28" t="s">
        <v>55</v>
      </c>
      <c r="M278" s="28" t="s">
        <v>55</v>
      </c>
      <c r="N278" s="28" t="s">
        <v>56</v>
      </c>
      <c r="O278" s="29">
        <v>0.9</v>
      </c>
      <c r="P278" s="31" t="s">
        <v>57</v>
      </c>
      <c r="Q278" s="31" t="s">
        <v>57</v>
      </c>
    </row>
    <row r="279" spans="1:17" ht="15" customHeight="1" x14ac:dyDescent="0.4">
      <c r="A279" s="28" t="s">
        <v>55</v>
      </c>
      <c r="B279" s="28" t="s">
        <v>56</v>
      </c>
      <c r="C279" s="28" t="s">
        <v>56</v>
      </c>
      <c r="D279" s="28" t="s">
        <v>55</v>
      </c>
      <c r="E279" s="28" t="s">
        <v>56</v>
      </c>
      <c r="F279" s="28" t="s">
        <v>56</v>
      </c>
      <c r="G279" s="28" t="s">
        <v>56</v>
      </c>
      <c r="H279" s="28" t="s">
        <v>55</v>
      </c>
      <c r="I279" s="28" t="s">
        <v>55</v>
      </c>
      <c r="J279" s="28" t="s">
        <v>56</v>
      </c>
      <c r="K279" s="28" t="s">
        <v>55</v>
      </c>
      <c r="L279" s="28" t="s">
        <v>55</v>
      </c>
      <c r="M279" s="28" t="s">
        <v>56</v>
      </c>
      <c r="N279" s="28" t="s">
        <v>55</v>
      </c>
      <c r="O279" s="29">
        <v>0.9</v>
      </c>
      <c r="P279" s="31" t="s">
        <v>57</v>
      </c>
      <c r="Q279" s="31" t="s">
        <v>57</v>
      </c>
    </row>
    <row r="280" spans="1:17" ht="15" customHeight="1" x14ac:dyDescent="0.4">
      <c r="A280" s="28" t="s">
        <v>55</v>
      </c>
      <c r="B280" s="28" t="s">
        <v>56</v>
      </c>
      <c r="C280" s="28" t="s">
        <v>56</v>
      </c>
      <c r="D280" s="28" t="s">
        <v>56</v>
      </c>
      <c r="E280" s="28" t="s">
        <v>55</v>
      </c>
      <c r="F280" s="28" t="s">
        <v>56</v>
      </c>
      <c r="G280" s="28" t="s">
        <v>56</v>
      </c>
      <c r="H280" s="28" t="s">
        <v>55</v>
      </c>
      <c r="I280" s="28" t="s">
        <v>55</v>
      </c>
      <c r="J280" s="28" t="s">
        <v>56</v>
      </c>
      <c r="K280" s="28" t="s">
        <v>55</v>
      </c>
      <c r="L280" s="28" t="s">
        <v>55</v>
      </c>
      <c r="M280" s="28" t="s">
        <v>55</v>
      </c>
      <c r="N280" s="28" t="s">
        <v>56</v>
      </c>
      <c r="O280" s="29">
        <v>0.71472392638036808</v>
      </c>
      <c r="P280" s="31" t="s">
        <v>57</v>
      </c>
      <c r="Q280" s="31" t="s">
        <v>57</v>
      </c>
    </row>
    <row r="281" spans="1:17" ht="15" customHeight="1" x14ac:dyDescent="0.4">
      <c r="A281" s="28" t="s">
        <v>55</v>
      </c>
      <c r="B281" s="28" t="s">
        <v>56</v>
      </c>
      <c r="C281" s="28" t="s">
        <v>56</v>
      </c>
      <c r="D281" s="28" t="s">
        <v>56</v>
      </c>
      <c r="E281" s="28" t="s">
        <v>55</v>
      </c>
      <c r="F281" s="28" t="s">
        <v>56</v>
      </c>
      <c r="G281" s="28" t="s">
        <v>56</v>
      </c>
      <c r="H281" s="28" t="s">
        <v>55</v>
      </c>
      <c r="I281" s="28" t="s">
        <v>55</v>
      </c>
      <c r="J281" s="28" t="s">
        <v>56</v>
      </c>
      <c r="K281" s="28" t="s">
        <v>55</v>
      </c>
      <c r="L281" s="28" t="s">
        <v>55</v>
      </c>
      <c r="M281" s="28" t="s">
        <v>56</v>
      </c>
      <c r="N281" s="28" t="s">
        <v>55</v>
      </c>
      <c r="O281" s="29">
        <v>0.8</v>
      </c>
      <c r="P281" s="31" t="s">
        <v>57</v>
      </c>
      <c r="Q281" s="31" t="s">
        <v>57</v>
      </c>
    </row>
    <row r="282" spans="1:17" ht="15" customHeight="1" x14ac:dyDescent="0.4">
      <c r="A282" s="28" t="s">
        <v>56</v>
      </c>
      <c r="B282" s="28" t="s">
        <v>55</v>
      </c>
      <c r="C282" s="28" t="s">
        <v>56</v>
      </c>
      <c r="D282" s="28" t="s">
        <v>55</v>
      </c>
      <c r="E282" s="28" t="s">
        <v>56</v>
      </c>
      <c r="F282" s="28" t="s">
        <v>56</v>
      </c>
      <c r="G282" s="28" t="s">
        <v>56</v>
      </c>
      <c r="H282" s="28" t="s">
        <v>55</v>
      </c>
      <c r="I282" s="28" t="s">
        <v>55</v>
      </c>
      <c r="J282" s="28" t="s">
        <v>56</v>
      </c>
      <c r="K282" s="28" t="s">
        <v>55</v>
      </c>
      <c r="L282" s="28" t="s">
        <v>55</v>
      </c>
      <c r="M282" s="28" t="s">
        <v>55</v>
      </c>
      <c r="N282" s="28" t="s">
        <v>56</v>
      </c>
      <c r="O282" s="29">
        <v>0.91176470588235292</v>
      </c>
      <c r="P282" s="31" t="s">
        <v>57</v>
      </c>
      <c r="Q282" s="31" t="s">
        <v>57</v>
      </c>
    </row>
    <row r="283" spans="1:17" ht="15" customHeight="1" x14ac:dyDescent="0.4">
      <c r="A283" s="28" t="s">
        <v>56</v>
      </c>
      <c r="B283" s="28" t="s">
        <v>55</v>
      </c>
      <c r="C283" s="28" t="s">
        <v>56</v>
      </c>
      <c r="D283" s="28" t="s">
        <v>55</v>
      </c>
      <c r="E283" s="28" t="s">
        <v>56</v>
      </c>
      <c r="F283" s="28" t="s">
        <v>56</v>
      </c>
      <c r="G283" s="28" t="s">
        <v>56</v>
      </c>
      <c r="H283" s="28" t="s">
        <v>55</v>
      </c>
      <c r="I283" s="28" t="s">
        <v>55</v>
      </c>
      <c r="J283" s="28" t="s">
        <v>56</v>
      </c>
      <c r="K283" s="28" t="s">
        <v>55</v>
      </c>
      <c r="L283" s="28" t="s">
        <v>55</v>
      </c>
      <c r="M283" s="28" t="s">
        <v>56</v>
      </c>
      <c r="N283" s="28" t="s">
        <v>55</v>
      </c>
      <c r="O283" s="29">
        <v>0.91180000000000005</v>
      </c>
      <c r="P283" s="31" t="s">
        <v>57</v>
      </c>
      <c r="Q283" s="31" t="s">
        <v>57</v>
      </c>
    </row>
    <row r="284" spans="1:17" ht="15" customHeight="1" x14ac:dyDescent="0.4">
      <c r="A284" s="28" t="s">
        <v>56</v>
      </c>
      <c r="B284" s="28" t="s">
        <v>55</v>
      </c>
      <c r="C284" s="28" t="s">
        <v>56</v>
      </c>
      <c r="D284" s="28" t="s">
        <v>56</v>
      </c>
      <c r="E284" s="28" t="s">
        <v>55</v>
      </c>
      <c r="F284" s="28" t="s">
        <v>56</v>
      </c>
      <c r="G284" s="28" t="s">
        <v>56</v>
      </c>
      <c r="H284" s="28" t="s">
        <v>55</v>
      </c>
      <c r="I284" s="28" t="s">
        <v>55</v>
      </c>
      <c r="J284" s="28" t="s">
        <v>56</v>
      </c>
      <c r="K284" s="28" t="s">
        <v>55</v>
      </c>
      <c r="L284" s="28" t="s">
        <v>55</v>
      </c>
      <c r="M284" s="28" t="s">
        <v>55</v>
      </c>
      <c r="N284" s="28" t="s">
        <v>56</v>
      </c>
      <c r="O284" s="29">
        <v>0.79959100204498978</v>
      </c>
      <c r="P284" s="31" t="s">
        <v>57</v>
      </c>
      <c r="Q284" s="31" t="s">
        <v>57</v>
      </c>
    </row>
    <row r="285" spans="1:17" ht="15" customHeight="1" x14ac:dyDescent="0.4">
      <c r="A285" s="28" t="s">
        <v>56</v>
      </c>
      <c r="B285" s="28" t="s">
        <v>55</v>
      </c>
      <c r="C285" s="28" t="s">
        <v>56</v>
      </c>
      <c r="D285" s="28" t="s">
        <v>56</v>
      </c>
      <c r="E285" s="28" t="s">
        <v>55</v>
      </c>
      <c r="F285" s="28" t="s">
        <v>56</v>
      </c>
      <c r="G285" s="28" t="s">
        <v>56</v>
      </c>
      <c r="H285" s="28" t="s">
        <v>55</v>
      </c>
      <c r="I285" s="28" t="s">
        <v>55</v>
      </c>
      <c r="J285" s="28" t="s">
        <v>56</v>
      </c>
      <c r="K285" s="28" t="s">
        <v>55</v>
      </c>
      <c r="L285" s="28" t="s">
        <v>55</v>
      </c>
      <c r="M285" s="28" t="s">
        <v>56</v>
      </c>
      <c r="N285" s="28" t="s">
        <v>55</v>
      </c>
      <c r="O285" s="29">
        <v>0.75974025974025972</v>
      </c>
      <c r="P285" s="31" t="s">
        <v>57</v>
      </c>
      <c r="Q285" s="31" t="s">
        <v>57</v>
      </c>
    </row>
    <row r="286" spans="1:17" ht="15" customHeight="1" x14ac:dyDescent="0.4">
      <c r="A286" s="28" t="s">
        <v>56</v>
      </c>
      <c r="B286" s="28" t="s">
        <v>56</v>
      </c>
      <c r="C286" s="28" t="s">
        <v>55</v>
      </c>
      <c r="D286" s="28" t="s">
        <v>55</v>
      </c>
      <c r="E286" s="28" t="s">
        <v>56</v>
      </c>
      <c r="F286" s="28" t="s">
        <v>56</v>
      </c>
      <c r="G286" s="28" t="s">
        <v>56</v>
      </c>
      <c r="H286" s="28" t="s">
        <v>55</v>
      </c>
      <c r="I286" s="28" t="s">
        <v>55</v>
      </c>
      <c r="J286" s="28" t="s">
        <v>56</v>
      </c>
      <c r="K286" s="28" t="s">
        <v>55</v>
      </c>
      <c r="L286" s="28" t="s">
        <v>55</v>
      </c>
      <c r="M286" s="28" t="s">
        <v>55</v>
      </c>
      <c r="N286" s="28" t="s">
        <v>56</v>
      </c>
      <c r="O286" s="29">
        <v>0.95</v>
      </c>
      <c r="P286" s="31" t="s">
        <v>57</v>
      </c>
      <c r="Q286" s="31" t="s">
        <v>57</v>
      </c>
    </row>
    <row r="287" spans="1:17" ht="15" customHeight="1" x14ac:dyDescent="0.4">
      <c r="A287" s="28" t="s">
        <v>56</v>
      </c>
      <c r="B287" s="28" t="s">
        <v>56</v>
      </c>
      <c r="C287" s="28" t="s">
        <v>55</v>
      </c>
      <c r="D287" s="28" t="s">
        <v>55</v>
      </c>
      <c r="E287" s="28" t="s">
        <v>56</v>
      </c>
      <c r="F287" s="28" t="s">
        <v>56</v>
      </c>
      <c r="G287" s="28" t="s">
        <v>56</v>
      </c>
      <c r="H287" s="28" t="s">
        <v>55</v>
      </c>
      <c r="I287" s="28" t="s">
        <v>55</v>
      </c>
      <c r="J287" s="28" t="s">
        <v>56</v>
      </c>
      <c r="K287" s="28" t="s">
        <v>55</v>
      </c>
      <c r="L287" s="28" t="s">
        <v>55</v>
      </c>
      <c r="M287" s="28" t="s">
        <v>56</v>
      </c>
      <c r="N287" s="28" t="s">
        <v>55</v>
      </c>
      <c r="O287" s="29">
        <v>0.95</v>
      </c>
      <c r="P287" s="31" t="s">
        <v>57</v>
      </c>
      <c r="Q287" s="31" t="s">
        <v>57</v>
      </c>
    </row>
    <row r="288" spans="1:17" ht="15" customHeight="1" x14ac:dyDescent="0.4">
      <c r="A288" s="28" t="s">
        <v>56</v>
      </c>
      <c r="B288" s="28" t="s">
        <v>56</v>
      </c>
      <c r="C288" s="28" t="s">
        <v>55</v>
      </c>
      <c r="D288" s="28" t="s">
        <v>56</v>
      </c>
      <c r="E288" s="28" t="s">
        <v>55</v>
      </c>
      <c r="F288" s="28" t="s">
        <v>56</v>
      </c>
      <c r="G288" s="28" t="s">
        <v>56</v>
      </c>
      <c r="H288" s="28" t="s">
        <v>55</v>
      </c>
      <c r="I288" s="28" t="s">
        <v>55</v>
      </c>
      <c r="J288" s="28" t="s">
        <v>56</v>
      </c>
      <c r="K288" s="28" t="s">
        <v>55</v>
      </c>
      <c r="L288" s="28" t="s">
        <v>55</v>
      </c>
      <c r="M288" s="28" t="s">
        <v>55</v>
      </c>
      <c r="N288" s="28" t="s">
        <v>56</v>
      </c>
      <c r="O288" s="29">
        <v>0.87142857142857144</v>
      </c>
      <c r="P288" s="31" t="s">
        <v>57</v>
      </c>
      <c r="Q288" s="31" t="s">
        <v>57</v>
      </c>
    </row>
    <row r="289" spans="1:17" ht="15" customHeight="1" x14ac:dyDescent="0.4">
      <c r="A289" s="28" t="s">
        <v>56</v>
      </c>
      <c r="B289" s="28" t="s">
        <v>56</v>
      </c>
      <c r="C289" s="28" t="s">
        <v>55</v>
      </c>
      <c r="D289" s="28" t="s">
        <v>56</v>
      </c>
      <c r="E289" s="28" t="s">
        <v>55</v>
      </c>
      <c r="F289" s="28" t="s">
        <v>56</v>
      </c>
      <c r="G289" s="28" t="s">
        <v>56</v>
      </c>
      <c r="H289" s="28" t="s">
        <v>55</v>
      </c>
      <c r="I289" s="28" t="s">
        <v>55</v>
      </c>
      <c r="J289" s="28" t="s">
        <v>56</v>
      </c>
      <c r="K289" s="28" t="s">
        <v>55</v>
      </c>
      <c r="L289" s="28" t="s">
        <v>55</v>
      </c>
      <c r="M289" s="28" t="s">
        <v>56</v>
      </c>
      <c r="N289" s="28" t="s">
        <v>55</v>
      </c>
      <c r="O289" s="29">
        <v>0.78846153846153844</v>
      </c>
      <c r="P289" s="31" t="s">
        <v>57</v>
      </c>
      <c r="Q289" s="3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A944-67F2-4CDA-8F44-86E15BDA34AE}">
  <dimension ref="B1:T179"/>
  <sheetViews>
    <sheetView topLeftCell="B1" workbookViewId="0">
      <pane ySplit="1" topLeftCell="A132" activePane="bottomLeft" state="frozen"/>
      <selection activeCell="B1" sqref="B1"/>
      <selection pane="bottomLeft" activeCell="C136" sqref="C136:K136"/>
    </sheetView>
  </sheetViews>
  <sheetFormatPr defaultRowHeight="15" customHeight="1" x14ac:dyDescent="0.4"/>
  <cols>
    <col min="5" max="5" width="14.69140625" customWidth="1"/>
    <col min="10" max="11" width="15.69140625" style="3" customWidth="1"/>
    <col min="12" max="12" width="11.69140625" style="3" customWidth="1"/>
    <col min="13" max="13" width="11.53515625" style="5" bestFit="1" customWidth="1"/>
    <col min="20" max="20" width="12.69140625" style="5" customWidth="1"/>
  </cols>
  <sheetData>
    <row r="1" spans="2:20" ht="15" customHeight="1" x14ac:dyDescent="0.4">
      <c r="J1" s="14" t="s">
        <v>19</v>
      </c>
      <c r="K1" s="14" t="s">
        <v>20</v>
      </c>
      <c r="L1" s="14" t="s">
        <v>21</v>
      </c>
      <c r="M1" s="17" t="s">
        <v>22</v>
      </c>
    </row>
    <row r="2" spans="2:20" ht="15" customHeight="1" x14ac:dyDescent="0.4">
      <c r="C2" s="8" t="s">
        <v>18</v>
      </c>
      <c r="D2" s="8"/>
      <c r="E2" s="8"/>
      <c r="F2" s="8"/>
      <c r="G2" s="7"/>
      <c r="H2" s="7"/>
      <c r="I2" s="7"/>
    </row>
    <row r="3" spans="2:20" s="10" customFormat="1" ht="15" customHeight="1" x14ac:dyDescent="0.4">
      <c r="B3" s="11"/>
      <c r="C3" s="1" t="s">
        <v>3</v>
      </c>
      <c r="D3" s="1" t="e" vm="1">
        <v>#VALUE!</v>
      </c>
      <c r="E3" s="1" t="s">
        <v>10</v>
      </c>
      <c r="F3" s="1"/>
      <c r="G3" s="2" t="s">
        <v>4</v>
      </c>
      <c r="H3" s="1" t="e" vm="2">
        <v>#VALUE!</v>
      </c>
      <c r="I3" s="1" t="e" vm="3">
        <v>#VALUE!</v>
      </c>
      <c r="J3" s="13"/>
      <c r="K3" s="13"/>
      <c r="L3" s="14"/>
      <c r="M3" s="15"/>
      <c r="N3" s="11"/>
      <c r="O3" s="11"/>
      <c r="P3" s="11"/>
      <c r="Q3" s="16"/>
      <c r="R3" s="11"/>
      <c r="S3" s="11"/>
      <c r="T3" s="17"/>
    </row>
    <row r="4" spans="2:20" ht="15" customHeight="1" x14ac:dyDescent="0.4">
      <c r="B4" s="1"/>
      <c r="C4" s="36" t="s">
        <v>5</v>
      </c>
      <c r="D4" s="36"/>
      <c r="E4" s="1" t="s">
        <v>11</v>
      </c>
      <c r="F4" s="34">
        <v>104</v>
      </c>
      <c r="G4" s="34"/>
      <c r="H4" s="34"/>
      <c r="I4" s="34"/>
      <c r="M4" s="18"/>
      <c r="N4" s="19"/>
      <c r="O4" s="19"/>
      <c r="P4" s="20"/>
      <c r="Q4" s="20"/>
      <c r="R4" s="20"/>
      <c r="S4" s="20"/>
    </row>
    <row r="5" spans="2:20" ht="15" customHeight="1" x14ac:dyDescent="0.4">
      <c r="B5" s="1"/>
      <c r="C5" s="36"/>
      <c r="D5" s="36"/>
      <c r="E5" s="1" t="s">
        <v>12</v>
      </c>
      <c r="F5" s="35">
        <v>1870</v>
      </c>
      <c r="G5" s="35"/>
      <c r="H5" s="35"/>
      <c r="I5" s="35"/>
      <c r="M5" s="21"/>
      <c r="N5" s="1"/>
      <c r="O5" s="1"/>
      <c r="P5" s="6"/>
      <c r="Q5" s="6"/>
      <c r="R5" s="6"/>
      <c r="S5" s="6"/>
    </row>
    <row r="6" spans="2:20" ht="15" customHeight="1" x14ac:dyDescent="0.4">
      <c r="B6" s="1"/>
      <c r="C6" s="36"/>
      <c r="D6" s="36"/>
      <c r="E6" s="1" t="s">
        <v>13</v>
      </c>
      <c r="F6" s="35">
        <v>2872</v>
      </c>
      <c r="G6" s="35"/>
      <c r="H6" s="35"/>
      <c r="I6" s="35"/>
      <c r="M6" s="21"/>
      <c r="N6" s="1"/>
      <c r="O6" s="1"/>
      <c r="P6" s="4"/>
      <c r="Q6" s="4"/>
      <c r="R6" s="4"/>
      <c r="S6" s="4"/>
    </row>
    <row r="7" spans="2:20" ht="15" customHeight="1" x14ac:dyDescent="0.4">
      <c r="B7" s="1"/>
      <c r="C7" s="36"/>
      <c r="D7" s="36"/>
      <c r="E7" s="1" t="s">
        <v>14</v>
      </c>
      <c r="F7" s="35">
        <v>14903</v>
      </c>
      <c r="G7" s="35"/>
      <c r="H7" s="35"/>
      <c r="I7" s="35"/>
      <c r="M7" s="21"/>
      <c r="N7" s="1"/>
      <c r="O7" s="1"/>
      <c r="P7" s="6"/>
      <c r="Q7" s="6"/>
      <c r="R7" s="6"/>
      <c r="S7" s="6"/>
    </row>
    <row r="8" spans="2:20" ht="15" customHeight="1" x14ac:dyDescent="0.4">
      <c r="B8" s="1"/>
      <c r="C8" s="36"/>
      <c r="D8" s="36"/>
      <c r="E8" s="1" t="s">
        <v>15</v>
      </c>
      <c r="F8" s="35">
        <v>13504</v>
      </c>
      <c r="G8" s="35"/>
      <c r="H8" s="35"/>
      <c r="I8" s="35"/>
      <c r="J8" s="3">
        <f>+SUM(F4:I8)</f>
        <v>33253</v>
      </c>
      <c r="M8" s="21"/>
      <c r="N8" s="1"/>
      <c r="O8" s="1"/>
      <c r="P8" s="4"/>
      <c r="Q8" s="4"/>
      <c r="R8" s="4"/>
      <c r="S8" s="4"/>
    </row>
    <row r="9" spans="2:20" ht="15" customHeight="1" x14ac:dyDescent="0.4">
      <c r="B9" s="1"/>
      <c r="C9" s="36"/>
      <c r="D9" s="36"/>
      <c r="E9" s="1" t="s">
        <v>16</v>
      </c>
      <c r="F9" s="35">
        <v>189184</v>
      </c>
      <c r="G9" s="35"/>
      <c r="H9" s="35"/>
      <c r="I9" s="35"/>
      <c r="M9" s="21"/>
      <c r="N9" s="19"/>
      <c r="O9" s="19"/>
      <c r="P9" s="22"/>
      <c r="Q9" s="22"/>
      <c r="R9" s="22"/>
      <c r="S9" s="22"/>
    </row>
    <row r="10" spans="2:20" ht="15" customHeight="1" x14ac:dyDescent="0.4">
      <c r="B10" s="1"/>
      <c r="C10" s="36"/>
      <c r="D10" s="36"/>
      <c r="E10" s="1" t="s">
        <v>17</v>
      </c>
      <c r="F10" s="35">
        <v>50531</v>
      </c>
      <c r="G10" s="35"/>
      <c r="H10" s="35"/>
      <c r="I10" s="35"/>
      <c r="K10" s="3">
        <f>+SUM(F9:I10)</f>
        <v>239715</v>
      </c>
      <c r="L10" s="3">
        <f>+J8+K10</f>
        <v>272968</v>
      </c>
      <c r="M10" s="21">
        <f>+J8/L10</f>
        <v>0.12182014008968084</v>
      </c>
      <c r="N10" s="1"/>
      <c r="O10" s="1"/>
      <c r="P10" s="6"/>
      <c r="Q10" s="6"/>
      <c r="R10" s="6"/>
      <c r="S10" s="6"/>
    </row>
    <row r="11" spans="2:20" ht="15" customHeight="1" x14ac:dyDescent="0.4">
      <c r="B11" s="1"/>
      <c r="C11" s="36" t="s">
        <v>2</v>
      </c>
      <c r="D11" s="36"/>
      <c r="E11" s="1" t="s">
        <v>11</v>
      </c>
      <c r="F11" s="34">
        <v>566</v>
      </c>
      <c r="G11" s="34"/>
      <c r="H11" s="34"/>
      <c r="I11" s="34"/>
      <c r="M11" s="21"/>
      <c r="N11" s="1"/>
      <c r="O11" s="1"/>
      <c r="P11" s="4"/>
      <c r="Q11" s="4"/>
      <c r="R11" s="4"/>
      <c r="S11" s="4"/>
    </row>
    <row r="12" spans="2:20" ht="15" customHeight="1" x14ac:dyDescent="0.4">
      <c r="B12" s="1"/>
      <c r="C12" s="36"/>
      <c r="D12" s="36"/>
      <c r="E12" s="1" t="s">
        <v>12</v>
      </c>
      <c r="F12" s="35">
        <v>9183</v>
      </c>
      <c r="G12" s="35"/>
      <c r="H12" s="35"/>
      <c r="I12" s="35"/>
      <c r="M12" s="21"/>
      <c r="N12" s="1"/>
      <c r="O12" s="1"/>
      <c r="P12" s="6"/>
      <c r="Q12" s="6"/>
      <c r="R12" s="6"/>
      <c r="S12" s="6"/>
    </row>
    <row r="13" spans="2:20" ht="15" customHeight="1" x14ac:dyDescent="0.4">
      <c r="B13" s="1"/>
      <c r="C13" s="36"/>
      <c r="D13" s="36"/>
      <c r="E13" s="1" t="s">
        <v>13</v>
      </c>
      <c r="F13" s="35">
        <v>14944</v>
      </c>
      <c r="G13" s="35"/>
      <c r="H13" s="35"/>
      <c r="I13" s="35"/>
      <c r="M13" s="21"/>
      <c r="N13" s="1"/>
      <c r="O13" s="1"/>
      <c r="P13" s="4"/>
      <c r="Q13" s="4"/>
      <c r="R13" s="4"/>
      <c r="S13" s="4"/>
    </row>
    <row r="14" spans="2:20" ht="15" customHeight="1" x14ac:dyDescent="0.4">
      <c r="B14" s="1"/>
      <c r="C14" s="36"/>
      <c r="D14" s="36"/>
      <c r="E14" s="1" t="s">
        <v>14</v>
      </c>
      <c r="F14" s="35">
        <v>77108</v>
      </c>
      <c r="G14" s="35"/>
      <c r="H14" s="35"/>
      <c r="I14" s="35"/>
    </row>
    <row r="15" spans="2:20" ht="15" customHeight="1" x14ac:dyDescent="0.4">
      <c r="B15" s="1"/>
      <c r="C15" s="36"/>
      <c r="D15" s="36"/>
      <c r="E15" s="1" t="s">
        <v>15</v>
      </c>
      <c r="F15" s="35">
        <v>73608</v>
      </c>
      <c r="G15" s="35"/>
      <c r="H15" s="35"/>
      <c r="I15" s="35"/>
      <c r="J15" s="3">
        <f>+SUM(F11:I15)</f>
        <v>175409</v>
      </c>
      <c r="M15" s="21"/>
    </row>
    <row r="16" spans="2:20" ht="15" customHeight="1" x14ac:dyDescent="0.4">
      <c r="B16" s="1"/>
      <c r="C16" s="36"/>
      <c r="D16" s="36"/>
      <c r="E16" s="1" t="s">
        <v>16</v>
      </c>
      <c r="F16" s="35">
        <v>1343647</v>
      </c>
      <c r="G16" s="35"/>
      <c r="H16" s="35"/>
      <c r="I16" s="35"/>
      <c r="M16" s="21"/>
    </row>
    <row r="17" spans="2:19" ht="15" customHeight="1" x14ac:dyDescent="0.4">
      <c r="B17" s="1"/>
      <c r="C17" s="36"/>
      <c r="D17" s="36"/>
      <c r="E17" s="1" t="s">
        <v>17</v>
      </c>
      <c r="F17" s="35">
        <v>365433</v>
      </c>
      <c r="G17" s="35"/>
      <c r="H17" s="35"/>
      <c r="I17" s="35"/>
      <c r="K17" s="3">
        <f>+SUM(F16:I17)</f>
        <v>1709080</v>
      </c>
      <c r="L17" s="3">
        <f>+J15+K17</f>
        <v>1884489</v>
      </c>
      <c r="M17" s="21">
        <f>+J15/L17</f>
        <v>9.308040535126498E-2</v>
      </c>
      <c r="N17" s="1"/>
      <c r="O17" s="1"/>
      <c r="P17" s="1"/>
      <c r="Q17" s="12"/>
      <c r="R17" s="1"/>
      <c r="S17" s="1"/>
    </row>
    <row r="18" spans="2:19" ht="15" customHeight="1" x14ac:dyDescent="0.4">
      <c r="B18" s="1"/>
      <c r="C18" s="36" t="s">
        <v>6</v>
      </c>
      <c r="D18" s="36"/>
      <c r="E18" s="1" t="s">
        <v>11</v>
      </c>
      <c r="F18" s="35">
        <v>4113</v>
      </c>
      <c r="G18" s="35"/>
      <c r="H18" s="35"/>
      <c r="I18" s="35"/>
      <c r="M18" s="21"/>
      <c r="N18" s="1"/>
      <c r="O18" s="1"/>
      <c r="P18" s="4"/>
      <c r="Q18" s="4"/>
      <c r="R18" s="4"/>
      <c r="S18" s="4"/>
    </row>
    <row r="19" spans="2:19" ht="15" customHeight="1" x14ac:dyDescent="0.4">
      <c r="B19" s="1"/>
      <c r="C19" s="36"/>
      <c r="D19" s="36"/>
      <c r="E19" s="1" t="s">
        <v>12</v>
      </c>
      <c r="F19" s="35">
        <v>63986</v>
      </c>
      <c r="G19" s="35"/>
      <c r="H19" s="35"/>
      <c r="I19" s="35"/>
      <c r="M19" s="21"/>
      <c r="N19" s="1"/>
      <c r="O19" s="1"/>
      <c r="P19" s="6"/>
      <c r="Q19" s="6"/>
      <c r="R19" s="6"/>
      <c r="S19" s="6"/>
    </row>
    <row r="20" spans="2:19" ht="15" customHeight="1" x14ac:dyDescent="0.4">
      <c r="B20" s="1"/>
      <c r="C20" s="36"/>
      <c r="D20" s="36"/>
      <c r="E20" s="1" t="s">
        <v>13</v>
      </c>
      <c r="F20" s="35">
        <v>73801</v>
      </c>
      <c r="G20" s="35"/>
      <c r="H20" s="35"/>
      <c r="I20" s="35"/>
      <c r="M20" s="21"/>
      <c r="N20" s="1"/>
      <c r="O20" s="1"/>
      <c r="P20" s="4"/>
      <c r="Q20" s="4"/>
      <c r="R20" s="4"/>
      <c r="S20" s="4"/>
    </row>
    <row r="21" spans="2:19" ht="15" customHeight="1" x14ac:dyDescent="0.4">
      <c r="B21" s="1"/>
      <c r="C21" s="36"/>
      <c r="D21" s="36"/>
      <c r="E21" s="1" t="s">
        <v>14</v>
      </c>
      <c r="F21" s="35">
        <v>289236</v>
      </c>
      <c r="G21" s="35"/>
      <c r="H21" s="35"/>
      <c r="I21" s="35"/>
      <c r="M21" s="21"/>
      <c r="N21" s="1"/>
      <c r="O21" s="1"/>
      <c r="P21" s="6"/>
      <c r="Q21" s="6"/>
      <c r="R21" s="6"/>
      <c r="S21" s="6"/>
    </row>
    <row r="22" spans="2:19" ht="15" customHeight="1" x14ac:dyDescent="0.4">
      <c r="B22" s="1"/>
      <c r="C22" s="36"/>
      <c r="D22" s="36"/>
      <c r="E22" s="1" t="s">
        <v>15</v>
      </c>
      <c r="F22" s="35">
        <v>231176</v>
      </c>
      <c r="G22" s="35"/>
      <c r="H22" s="35"/>
      <c r="I22" s="35"/>
      <c r="J22" s="3">
        <f>+SUM(F18:I22)</f>
        <v>662312</v>
      </c>
      <c r="M22" s="21"/>
      <c r="N22" s="1"/>
      <c r="O22" s="1"/>
      <c r="P22" s="4"/>
      <c r="Q22" s="4"/>
      <c r="R22" s="4"/>
      <c r="S22" s="4"/>
    </row>
    <row r="23" spans="2:19" ht="15" customHeight="1" x14ac:dyDescent="0.4">
      <c r="B23" s="1"/>
      <c r="C23" s="36"/>
      <c r="D23" s="36"/>
      <c r="E23" s="1" t="s">
        <v>16</v>
      </c>
      <c r="F23" s="35">
        <v>3087334</v>
      </c>
      <c r="G23" s="35"/>
      <c r="H23" s="35"/>
      <c r="I23" s="35"/>
      <c r="M23" s="21"/>
      <c r="N23" s="1"/>
      <c r="O23" s="1"/>
      <c r="P23" s="6"/>
      <c r="Q23" s="6"/>
      <c r="R23" s="6"/>
      <c r="S23" s="6"/>
    </row>
    <row r="24" spans="2:19" ht="15" customHeight="1" x14ac:dyDescent="0.4">
      <c r="B24" s="1"/>
      <c r="C24" s="36"/>
      <c r="D24" s="36"/>
      <c r="E24" s="1" t="s">
        <v>17</v>
      </c>
      <c r="F24" s="35">
        <v>776050</v>
      </c>
      <c r="G24" s="35"/>
      <c r="H24" s="35"/>
      <c r="I24" s="35"/>
      <c r="K24" s="3">
        <f>+SUM(F23:I24)</f>
        <v>3863384</v>
      </c>
      <c r="L24" s="3">
        <f>+J22+K24</f>
        <v>4525696</v>
      </c>
      <c r="M24" s="21">
        <f>+J22/L24</f>
        <v>0.14634478321124531</v>
      </c>
      <c r="N24" s="1"/>
      <c r="O24" s="1"/>
      <c r="P24" s="4"/>
      <c r="Q24" s="4"/>
      <c r="R24" s="4"/>
      <c r="S24" s="4"/>
    </row>
    <row r="25" spans="2:19" ht="15" customHeight="1" x14ac:dyDescent="0.4">
      <c r="B25" s="1"/>
      <c r="C25" s="36" t="s">
        <v>7</v>
      </c>
      <c r="D25" s="36"/>
      <c r="E25" s="1" t="s">
        <v>11</v>
      </c>
      <c r="F25" s="34">
        <v>38</v>
      </c>
      <c r="G25" s="34"/>
      <c r="H25" s="34"/>
      <c r="I25" s="34"/>
      <c r="M25" s="21"/>
    </row>
    <row r="26" spans="2:19" ht="15" customHeight="1" x14ac:dyDescent="0.4">
      <c r="B26" s="1"/>
      <c r="C26" s="36"/>
      <c r="D26" s="36"/>
      <c r="E26" s="1" t="s">
        <v>12</v>
      </c>
      <c r="F26" s="34">
        <v>703</v>
      </c>
      <c r="G26" s="34"/>
      <c r="H26" s="34"/>
      <c r="I26" s="34"/>
      <c r="M26" s="21"/>
    </row>
    <row r="27" spans="2:19" ht="15" customHeight="1" x14ac:dyDescent="0.4">
      <c r="B27" s="1"/>
      <c r="C27" s="36"/>
      <c r="D27" s="36"/>
      <c r="E27" s="1" t="s">
        <v>13</v>
      </c>
      <c r="F27" s="35">
        <v>1011</v>
      </c>
      <c r="G27" s="35"/>
      <c r="H27" s="35"/>
      <c r="I27" s="35"/>
      <c r="M27" s="21"/>
    </row>
    <row r="28" spans="2:19" ht="15" customHeight="1" x14ac:dyDescent="0.4">
      <c r="B28" s="1"/>
      <c r="C28" s="36"/>
      <c r="D28" s="36"/>
      <c r="E28" s="1" t="s">
        <v>14</v>
      </c>
      <c r="F28" s="35">
        <v>5232</v>
      </c>
      <c r="G28" s="35"/>
      <c r="H28" s="35"/>
      <c r="I28" s="35"/>
      <c r="M28" s="21"/>
    </row>
    <row r="29" spans="2:19" ht="15" customHeight="1" x14ac:dyDescent="0.4">
      <c r="B29" s="1"/>
      <c r="C29" s="36"/>
      <c r="D29" s="36"/>
      <c r="E29" s="1" t="s">
        <v>15</v>
      </c>
      <c r="F29" s="35">
        <v>4725</v>
      </c>
      <c r="G29" s="35"/>
      <c r="H29" s="35"/>
      <c r="I29" s="35"/>
      <c r="J29" s="3">
        <f>+SUM(F25:I29)</f>
        <v>11709</v>
      </c>
      <c r="M29" s="21"/>
      <c r="N29" s="1"/>
      <c r="O29" s="1"/>
      <c r="P29" s="1"/>
      <c r="Q29" s="12"/>
      <c r="R29" s="1"/>
      <c r="S29" s="1"/>
    </row>
    <row r="30" spans="2:19" ht="15" customHeight="1" x14ac:dyDescent="0.4">
      <c r="B30" s="1"/>
      <c r="C30" s="36"/>
      <c r="D30" s="36"/>
      <c r="E30" s="1" t="s">
        <v>16</v>
      </c>
      <c r="F30" s="35">
        <v>66482</v>
      </c>
      <c r="G30" s="35"/>
      <c r="H30" s="35"/>
      <c r="I30" s="35"/>
      <c r="M30" s="21"/>
      <c r="N30" s="1"/>
      <c r="O30" s="1"/>
      <c r="P30" s="6"/>
      <c r="Q30" s="6"/>
      <c r="R30" s="6"/>
      <c r="S30" s="6"/>
    </row>
    <row r="31" spans="2:19" ht="15" customHeight="1" x14ac:dyDescent="0.4">
      <c r="B31" s="1"/>
      <c r="C31" s="36"/>
      <c r="D31" s="36"/>
      <c r="E31" s="1" t="s">
        <v>17</v>
      </c>
      <c r="F31" s="35">
        <v>18989</v>
      </c>
      <c r="G31" s="35"/>
      <c r="H31" s="35"/>
      <c r="I31" s="35"/>
      <c r="K31" s="3">
        <f>+SUM(F30:I31)</f>
        <v>85471</v>
      </c>
      <c r="L31" s="3">
        <f>+J29+K31</f>
        <v>97180</v>
      </c>
      <c r="M31" s="21">
        <f>+J29/L31</f>
        <v>0.12048775468203334</v>
      </c>
      <c r="N31" s="1"/>
      <c r="O31" s="1"/>
      <c r="P31" s="4"/>
      <c r="Q31" s="4"/>
      <c r="R31" s="4"/>
      <c r="S31" s="4"/>
    </row>
    <row r="32" spans="2:19" ht="15" customHeight="1" x14ac:dyDescent="0.4">
      <c r="B32" s="1"/>
      <c r="C32" s="36" t="s">
        <v>8</v>
      </c>
      <c r="D32" s="36"/>
      <c r="E32" s="1" t="s">
        <v>11</v>
      </c>
      <c r="F32" s="35">
        <v>5203</v>
      </c>
      <c r="G32" s="35"/>
      <c r="H32" s="35"/>
      <c r="I32" s="35"/>
      <c r="N32" s="1"/>
      <c r="O32" s="1"/>
      <c r="P32" s="6"/>
      <c r="Q32" s="6"/>
      <c r="R32" s="6"/>
      <c r="S32" s="6"/>
    </row>
    <row r="33" spans="2:19" ht="15" customHeight="1" x14ac:dyDescent="0.4">
      <c r="B33" s="1"/>
      <c r="C33" s="36"/>
      <c r="D33" s="36"/>
      <c r="E33" s="1" t="s">
        <v>12</v>
      </c>
      <c r="F33" s="35">
        <v>104066</v>
      </c>
      <c r="G33" s="35"/>
      <c r="H33" s="35"/>
      <c r="I33" s="35"/>
      <c r="M33" s="21"/>
      <c r="N33" s="1"/>
      <c r="O33" s="1"/>
      <c r="P33" s="4"/>
      <c r="Q33" s="4"/>
      <c r="R33" s="4"/>
      <c r="S33" s="4"/>
    </row>
    <row r="34" spans="2:19" ht="15" customHeight="1" x14ac:dyDescent="0.4">
      <c r="B34" s="1"/>
      <c r="C34" s="36"/>
      <c r="D34" s="36"/>
      <c r="E34" s="1" t="s">
        <v>13</v>
      </c>
      <c r="F34" s="35">
        <v>174224</v>
      </c>
      <c r="G34" s="35"/>
      <c r="H34" s="35"/>
      <c r="I34" s="35"/>
      <c r="N34" s="1"/>
      <c r="O34" s="1"/>
      <c r="P34" s="4"/>
      <c r="Q34" s="4"/>
      <c r="R34" s="4"/>
      <c r="S34" s="4"/>
    </row>
    <row r="35" spans="2:19" ht="15" customHeight="1" x14ac:dyDescent="0.4">
      <c r="B35" s="1"/>
      <c r="C35" s="36"/>
      <c r="D35" s="36"/>
      <c r="E35" s="1" t="s">
        <v>14</v>
      </c>
      <c r="F35" s="35">
        <v>931848</v>
      </c>
      <c r="G35" s="35"/>
      <c r="H35" s="35"/>
      <c r="I35" s="35"/>
      <c r="M35" s="21"/>
    </row>
    <row r="36" spans="2:19" ht="15" customHeight="1" x14ac:dyDescent="0.4">
      <c r="B36" s="1"/>
      <c r="C36" s="36"/>
      <c r="D36" s="36"/>
      <c r="E36" s="1" t="s">
        <v>15</v>
      </c>
      <c r="F36" s="35">
        <v>852231</v>
      </c>
      <c r="G36" s="35"/>
      <c r="H36" s="35"/>
      <c r="I36" s="35"/>
      <c r="J36" s="3">
        <f>+SUM(F32:I36)</f>
        <v>2067572</v>
      </c>
      <c r="M36" s="21"/>
    </row>
    <row r="37" spans="2:19" ht="15" customHeight="1" x14ac:dyDescent="0.4">
      <c r="B37" s="1"/>
      <c r="C37" s="36"/>
      <c r="D37" s="36"/>
      <c r="E37" s="1" t="s">
        <v>16</v>
      </c>
      <c r="F37" s="35">
        <v>14315455</v>
      </c>
      <c r="G37" s="35"/>
      <c r="H37" s="35"/>
      <c r="I37" s="35"/>
      <c r="M37" s="21"/>
    </row>
    <row r="38" spans="2:19" ht="15" customHeight="1" x14ac:dyDescent="0.4">
      <c r="B38" s="1"/>
      <c r="C38" s="36"/>
      <c r="D38" s="36"/>
      <c r="E38" s="1" t="s">
        <v>17</v>
      </c>
      <c r="F38" s="35">
        <v>4254342</v>
      </c>
      <c r="G38" s="35"/>
      <c r="H38" s="35"/>
      <c r="I38" s="35"/>
      <c r="K38" s="3">
        <f>+SUM(F37:I38)</f>
        <v>18569797</v>
      </c>
      <c r="L38" s="3">
        <f>+J36+K38</f>
        <v>20637369</v>
      </c>
      <c r="M38" s="21">
        <f>+J36/L38</f>
        <v>0.10018583279680661</v>
      </c>
    </row>
    <row r="39" spans="2:19" ht="15" customHeight="1" x14ac:dyDescent="0.4">
      <c r="B39" s="1"/>
      <c r="C39" s="36" t="s">
        <v>9</v>
      </c>
      <c r="D39" s="36"/>
      <c r="E39" s="1" t="s">
        <v>11</v>
      </c>
      <c r="F39" s="34">
        <v>273</v>
      </c>
      <c r="G39" s="34"/>
      <c r="H39" s="34"/>
      <c r="I39" s="34"/>
      <c r="J39" s="4"/>
      <c r="K39" s="4"/>
      <c r="L39" s="4"/>
    </row>
    <row r="40" spans="2:19" ht="15" customHeight="1" x14ac:dyDescent="0.4">
      <c r="B40" s="1"/>
      <c r="C40" s="36"/>
      <c r="D40" s="36"/>
      <c r="E40" s="1" t="s">
        <v>12</v>
      </c>
      <c r="F40" s="35">
        <v>5407</v>
      </c>
      <c r="G40" s="35"/>
      <c r="H40" s="35"/>
      <c r="I40" s="35"/>
    </row>
    <row r="41" spans="2:19" ht="15" customHeight="1" x14ac:dyDescent="0.4">
      <c r="B41" s="1"/>
      <c r="C41" s="36"/>
      <c r="D41" s="36"/>
      <c r="E41" s="1" t="s">
        <v>13</v>
      </c>
      <c r="F41" s="35">
        <v>8007</v>
      </c>
      <c r="G41" s="35"/>
      <c r="H41" s="35"/>
      <c r="I41" s="35"/>
      <c r="M41" s="21"/>
    </row>
    <row r="42" spans="2:19" ht="15" customHeight="1" x14ac:dyDescent="0.4">
      <c r="B42" s="1"/>
      <c r="C42" s="36"/>
      <c r="D42" s="36"/>
      <c r="E42" s="1" t="s">
        <v>14</v>
      </c>
      <c r="F42" s="35">
        <v>38674</v>
      </c>
      <c r="G42" s="35"/>
      <c r="H42" s="35"/>
      <c r="I42" s="35"/>
      <c r="M42" s="21"/>
    </row>
    <row r="43" spans="2:19" ht="15" customHeight="1" x14ac:dyDescent="0.4">
      <c r="B43" s="1"/>
      <c r="C43" s="36"/>
      <c r="D43" s="36"/>
      <c r="E43" s="1" t="s">
        <v>15</v>
      </c>
      <c r="F43" s="35">
        <v>34082</v>
      </c>
      <c r="G43" s="35"/>
      <c r="H43" s="35"/>
      <c r="I43" s="35"/>
      <c r="J43" s="3">
        <f>+SUM(F39:I43)</f>
        <v>86443</v>
      </c>
      <c r="M43" s="21"/>
    </row>
    <row r="44" spans="2:19" ht="15" customHeight="1" x14ac:dyDescent="0.4">
      <c r="B44" s="1"/>
      <c r="C44" s="36"/>
      <c r="D44" s="36"/>
      <c r="E44" s="1" t="s">
        <v>16</v>
      </c>
      <c r="F44" s="35">
        <v>525100</v>
      </c>
      <c r="G44" s="35"/>
      <c r="H44" s="35"/>
      <c r="I44" s="35"/>
      <c r="M44" s="21"/>
    </row>
    <row r="45" spans="2:19" ht="15" customHeight="1" x14ac:dyDescent="0.4">
      <c r="B45" s="1"/>
      <c r="C45" s="36"/>
      <c r="D45" s="36"/>
      <c r="E45" s="1" t="s">
        <v>17</v>
      </c>
      <c r="F45" s="35">
        <v>154994</v>
      </c>
      <c r="G45" s="35"/>
      <c r="H45" s="35"/>
      <c r="I45" s="35"/>
      <c r="K45" s="3">
        <f>+SUM(F44:I45)</f>
        <v>680094</v>
      </c>
      <c r="L45" s="3">
        <f>+J43+K45</f>
        <v>766537</v>
      </c>
      <c r="M45" s="21">
        <f>+J43/L45</f>
        <v>0.11277081210691721</v>
      </c>
    </row>
    <row r="46" spans="2:19" ht="15" customHeight="1" x14ac:dyDescent="0.4">
      <c r="C46" s="1"/>
      <c r="D46" s="1"/>
      <c r="E46" s="1"/>
      <c r="F46" s="6"/>
      <c r="G46" s="6"/>
      <c r="H46" s="6"/>
      <c r="I46" s="6"/>
      <c r="M46" s="21"/>
    </row>
    <row r="47" spans="2:19" ht="15" customHeight="1" x14ac:dyDescent="0.4">
      <c r="C47" s="1"/>
      <c r="D47" s="1"/>
      <c r="E47" s="1"/>
      <c r="F47" s="4"/>
      <c r="G47" s="4"/>
      <c r="H47" s="4"/>
      <c r="I47" s="4"/>
      <c r="M47" s="21"/>
    </row>
    <row r="48" spans="2:19" ht="15" customHeight="1" x14ac:dyDescent="0.4">
      <c r="C48" s="8" t="s">
        <v>23</v>
      </c>
      <c r="D48" s="8"/>
      <c r="E48" s="8"/>
      <c r="F48" s="8"/>
      <c r="G48" s="7"/>
      <c r="H48" s="7"/>
      <c r="I48" s="7"/>
      <c r="J48" s="9"/>
      <c r="M48" s="21"/>
    </row>
    <row r="49" spans="3:13" ht="15" customHeight="1" x14ac:dyDescent="0.4">
      <c r="C49" s="36" t="s">
        <v>24</v>
      </c>
      <c r="D49" s="1" t="s">
        <v>11</v>
      </c>
      <c r="E49" s="6">
        <v>13</v>
      </c>
      <c r="F49" s="4"/>
      <c r="G49" s="4"/>
      <c r="H49" s="4"/>
      <c r="I49" s="4"/>
      <c r="M49" s="21"/>
    </row>
    <row r="50" spans="3:13" ht="15" customHeight="1" x14ac:dyDescent="0.4">
      <c r="C50" s="36"/>
      <c r="D50" s="1" t="s">
        <v>12</v>
      </c>
      <c r="E50" s="6">
        <v>372</v>
      </c>
      <c r="F50" s="4"/>
      <c r="G50" s="4"/>
      <c r="H50" s="4"/>
      <c r="I50" s="4"/>
    </row>
    <row r="51" spans="3:13" ht="15" customHeight="1" x14ac:dyDescent="0.4">
      <c r="C51" s="36"/>
      <c r="D51" s="1" t="s">
        <v>13</v>
      </c>
      <c r="E51" s="6">
        <v>505</v>
      </c>
      <c r="F51" s="4"/>
      <c r="G51" s="4"/>
      <c r="H51" s="4"/>
      <c r="I51" s="4"/>
      <c r="M51" s="21"/>
    </row>
    <row r="52" spans="3:13" ht="15" customHeight="1" x14ac:dyDescent="0.4">
      <c r="C52" s="36"/>
      <c r="D52" s="1" t="s">
        <v>14</v>
      </c>
      <c r="E52" s="4">
        <v>2826</v>
      </c>
    </row>
    <row r="53" spans="3:13" ht="15" customHeight="1" x14ac:dyDescent="0.4">
      <c r="C53" s="36"/>
      <c r="D53" s="1" t="s">
        <v>15</v>
      </c>
      <c r="E53" s="4">
        <v>2310</v>
      </c>
      <c r="J53" s="3">
        <f>+SUM(E49:E53)</f>
        <v>6026</v>
      </c>
      <c r="M53" s="21"/>
    </row>
    <row r="54" spans="3:13" ht="15" customHeight="1" x14ac:dyDescent="0.4">
      <c r="C54" s="36"/>
      <c r="D54" s="1" t="s">
        <v>16</v>
      </c>
      <c r="E54" s="4">
        <v>25254</v>
      </c>
    </row>
    <row r="55" spans="3:13" ht="15" customHeight="1" x14ac:dyDescent="0.4">
      <c r="C55" s="36"/>
      <c r="D55" s="1" t="s">
        <v>17</v>
      </c>
      <c r="E55" s="4">
        <v>4475</v>
      </c>
      <c r="K55" s="3">
        <f>+E54+E55</f>
        <v>29729</v>
      </c>
      <c r="L55" s="3">
        <f>+J53+K55</f>
        <v>35755</v>
      </c>
      <c r="M55" s="21">
        <f>+J53/L55</f>
        <v>0.1685358691092155</v>
      </c>
    </row>
    <row r="56" spans="3:13" ht="15" customHeight="1" x14ac:dyDescent="0.4">
      <c r="C56" s="36" t="s">
        <v>2</v>
      </c>
      <c r="D56" s="1" t="s">
        <v>11</v>
      </c>
      <c r="E56" s="6">
        <v>157</v>
      </c>
    </row>
    <row r="57" spans="3:13" ht="15" customHeight="1" x14ac:dyDescent="0.4">
      <c r="C57" s="36"/>
      <c r="D57" s="1" t="s">
        <v>12</v>
      </c>
      <c r="E57" s="4">
        <v>3130</v>
      </c>
      <c r="F57" s="1"/>
      <c r="G57" s="12"/>
      <c r="H57" s="1"/>
      <c r="I57" s="1"/>
    </row>
    <row r="58" spans="3:13" ht="15" customHeight="1" x14ac:dyDescent="0.4">
      <c r="C58" s="36"/>
      <c r="D58" s="1" t="s">
        <v>13</v>
      </c>
      <c r="E58" s="4">
        <v>5619</v>
      </c>
      <c r="F58" s="6"/>
      <c r="G58" s="6"/>
      <c r="H58" s="6"/>
      <c r="I58" s="6"/>
    </row>
    <row r="59" spans="3:13" ht="15" customHeight="1" x14ac:dyDescent="0.4">
      <c r="C59" s="36"/>
      <c r="D59" s="1" t="s">
        <v>14</v>
      </c>
      <c r="E59" s="4">
        <v>27997</v>
      </c>
      <c r="F59" s="6"/>
      <c r="G59" s="6"/>
      <c r="H59" s="6"/>
      <c r="I59" s="6"/>
      <c r="M59" s="21"/>
    </row>
    <row r="60" spans="3:13" ht="15" customHeight="1" x14ac:dyDescent="0.4">
      <c r="C60" s="36"/>
      <c r="D60" s="1" t="s">
        <v>15</v>
      </c>
      <c r="E60" s="4">
        <v>25840</v>
      </c>
      <c r="F60" s="6"/>
      <c r="G60" s="6"/>
      <c r="H60" s="6"/>
      <c r="I60" s="6"/>
      <c r="J60" s="3">
        <f>+SUM(E56:E60)</f>
        <v>62743</v>
      </c>
      <c r="M60" s="21"/>
    </row>
    <row r="61" spans="3:13" ht="15" customHeight="1" x14ac:dyDescent="0.4">
      <c r="C61" s="36"/>
      <c r="D61" s="1" t="s">
        <v>16</v>
      </c>
      <c r="E61" s="4">
        <v>424604</v>
      </c>
      <c r="F61" s="6"/>
      <c r="G61" s="6"/>
      <c r="H61" s="6"/>
      <c r="I61" s="6"/>
    </row>
    <row r="62" spans="3:13" ht="15" customHeight="1" x14ac:dyDescent="0.4">
      <c r="C62" s="36"/>
      <c r="D62" s="1" t="s">
        <v>17</v>
      </c>
      <c r="E62" s="4">
        <v>86644</v>
      </c>
      <c r="F62" s="6"/>
      <c r="G62" s="6"/>
      <c r="H62" s="6"/>
      <c r="I62" s="6"/>
      <c r="K62" s="3">
        <f>+E61+E62</f>
        <v>511248</v>
      </c>
      <c r="L62" s="3">
        <f>+J60+K62</f>
        <v>573991</v>
      </c>
      <c r="M62" s="21">
        <f>+J60/L62</f>
        <v>0.1093100762903948</v>
      </c>
    </row>
    <row r="63" spans="3:13" ht="15" customHeight="1" x14ac:dyDescent="0.4">
      <c r="C63" s="36" t="s">
        <v>6</v>
      </c>
      <c r="D63" s="1" t="s">
        <v>11</v>
      </c>
      <c r="E63" s="6">
        <v>607</v>
      </c>
      <c r="F63" s="4"/>
      <c r="G63" s="4"/>
      <c r="H63" s="4"/>
      <c r="I63" s="4"/>
      <c r="M63" s="21"/>
    </row>
    <row r="64" spans="3:13" ht="15" customHeight="1" x14ac:dyDescent="0.4">
      <c r="C64" s="36"/>
      <c r="D64" s="1" t="s">
        <v>12</v>
      </c>
      <c r="E64" s="4">
        <v>11786</v>
      </c>
      <c r="F64" s="6"/>
      <c r="G64" s="6"/>
      <c r="H64" s="6"/>
      <c r="I64" s="6"/>
      <c r="M64" s="21"/>
    </row>
    <row r="65" spans="3:13" ht="15" customHeight="1" x14ac:dyDescent="0.4">
      <c r="C65" s="36"/>
      <c r="D65" s="1" t="s">
        <v>13</v>
      </c>
      <c r="E65" s="4">
        <v>14636</v>
      </c>
      <c r="F65" s="6"/>
      <c r="G65" s="6"/>
      <c r="H65" s="6"/>
      <c r="I65" s="6"/>
      <c r="M65" s="21"/>
    </row>
    <row r="66" spans="3:13" ht="15" customHeight="1" x14ac:dyDescent="0.4">
      <c r="C66" s="36"/>
      <c r="D66" s="1" t="s">
        <v>14</v>
      </c>
      <c r="E66" s="4">
        <v>57104</v>
      </c>
      <c r="F66" s="4"/>
      <c r="G66" s="4"/>
      <c r="H66" s="4"/>
      <c r="I66" s="4"/>
      <c r="M66" s="21"/>
    </row>
    <row r="67" spans="3:13" ht="15" customHeight="1" x14ac:dyDescent="0.4">
      <c r="C67" s="36"/>
      <c r="D67" s="1" t="s">
        <v>15</v>
      </c>
      <c r="E67" s="4">
        <v>44395</v>
      </c>
      <c r="F67" s="4"/>
      <c r="G67" s="4"/>
      <c r="H67" s="4"/>
      <c r="I67" s="4"/>
      <c r="J67" s="3">
        <f>+SUM(E63:E67)</f>
        <v>128528</v>
      </c>
      <c r="M67" s="21"/>
    </row>
    <row r="68" spans="3:13" ht="15" customHeight="1" x14ac:dyDescent="0.4">
      <c r="C68" s="36"/>
      <c r="D68" s="1" t="s">
        <v>16</v>
      </c>
      <c r="E68" s="4">
        <v>513105</v>
      </c>
      <c r="F68" s="6"/>
      <c r="G68" s="6"/>
      <c r="H68" s="6"/>
      <c r="I68" s="6"/>
    </row>
    <row r="69" spans="3:13" ht="15" customHeight="1" x14ac:dyDescent="0.4">
      <c r="C69" s="36"/>
      <c r="D69" s="1" t="s">
        <v>17</v>
      </c>
      <c r="E69" s="4">
        <v>95167</v>
      </c>
      <c r="F69" s="6"/>
      <c r="G69" s="6"/>
      <c r="H69" s="6"/>
      <c r="I69" s="6"/>
      <c r="K69" s="3">
        <f>+E68+E69</f>
        <v>608272</v>
      </c>
      <c r="L69" s="3">
        <f>+J67+K69</f>
        <v>736800</v>
      </c>
      <c r="M69" s="21">
        <f>+J67/L69</f>
        <v>0.17444082519001086</v>
      </c>
    </row>
    <row r="70" spans="3:13" ht="15" customHeight="1" x14ac:dyDescent="0.4">
      <c r="C70" s="36" t="s">
        <v>7</v>
      </c>
      <c r="D70" s="1" t="s">
        <v>12</v>
      </c>
      <c r="E70" s="6">
        <v>161</v>
      </c>
    </row>
    <row r="71" spans="3:13" ht="15" customHeight="1" x14ac:dyDescent="0.4">
      <c r="C71" s="36"/>
      <c r="D71" s="1" t="s">
        <v>13</v>
      </c>
      <c r="E71" s="6">
        <v>227</v>
      </c>
      <c r="M71" s="21"/>
    </row>
    <row r="72" spans="3:13" ht="15" customHeight="1" x14ac:dyDescent="0.4">
      <c r="C72" s="36"/>
      <c r="D72" s="1" t="s">
        <v>14</v>
      </c>
      <c r="E72" s="4">
        <v>1147</v>
      </c>
    </row>
    <row r="73" spans="3:13" ht="15" customHeight="1" x14ac:dyDescent="0.4">
      <c r="C73" s="36"/>
      <c r="D73" s="1" t="s">
        <v>15</v>
      </c>
      <c r="E73" s="6">
        <v>954</v>
      </c>
      <c r="J73" s="3">
        <f>+SUM(E70:E73)</f>
        <v>2489</v>
      </c>
      <c r="M73" s="21"/>
    </row>
    <row r="74" spans="3:13" ht="15" customHeight="1" x14ac:dyDescent="0.4">
      <c r="C74" s="36"/>
      <c r="D74" s="1" t="s">
        <v>16</v>
      </c>
      <c r="E74" s="4">
        <v>10979</v>
      </c>
    </row>
    <row r="75" spans="3:13" ht="15" customHeight="1" x14ac:dyDescent="0.4">
      <c r="C75" s="36"/>
      <c r="D75" s="1" t="s">
        <v>17</v>
      </c>
      <c r="E75" s="4">
        <v>2195</v>
      </c>
      <c r="K75" s="3">
        <f>+E74+E75</f>
        <v>13174</v>
      </c>
      <c r="L75" s="3">
        <f>+J73+K75</f>
        <v>15663</v>
      </c>
      <c r="M75" s="21">
        <f>+J73/L75</f>
        <v>0.1589095320181319</v>
      </c>
    </row>
    <row r="76" spans="3:13" ht="15" customHeight="1" x14ac:dyDescent="0.4">
      <c r="C76" s="36" t="s">
        <v>8</v>
      </c>
      <c r="D76" s="1" t="s">
        <v>11</v>
      </c>
      <c r="E76" s="6">
        <v>964</v>
      </c>
    </row>
    <row r="77" spans="3:13" ht="15" customHeight="1" x14ac:dyDescent="0.4">
      <c r="C77" s="36"/>
      <c r="D77" s="1" t="s">
        <v>12</v>
      </c>
      <c r="E77" s="4">
        <v>20894</v>
      </c>
    </row>
    <row r="78" spans="3:13" ht="15" customHeight="1" x14ac:dyDescent="0.4">
      <c r="C78" s="36"/>
      <c r="D78" s="1" t="s">
        <v>13</v>
      </c>
      <c r="E78" s="4">
        <v>38571</v>
      </c>
    </row>
    <row r="79" spans="3:13" ht="15" customHeight="1" x14ac:dyDescent="0.4">
      <c r="C79" s="36"/>
      <c r="D79" s="1" t="s">
        <v>14</v>
      </c>
      <c r="E79" s="4">
        <v>208130</v>
      </c>
    </row>
    <row r="80" spans="3:13" ht="15" customHeight="1" x14ac:dyDescent="0.4">
      <c r="C80" s="36"/>
      <c r="D80" s="1" t="s">
        <v>15</v>
      </c>
      <c r="E80" s="4">
        <v>182833</v>
      </c>
      <c r="J80" s="3">
        <f>+SUM(E76:E80)</f>
        <v>451392</v>
      </c>
      <c r="M80" s="21"/>
    </row>
    <row r="81" spans="3:13" ht="15" customHeight="1" x14ac:dyDescent="0.4">
      <c r="C81" s="36"/>
      <c r="D81" s="1" t="s">
        <v>16</v>
      </c>
      <c r="E81" s="4">
        <v>2763197</v>
      </c>
    </row>
    <row r="82" spans="3:13" ht="15" customHeight="1" x14ac:dyDescent="0.4">
      <c r="C82" s="36"/>
      <c r="D82" s="1" t="s">
        <v>17</v>
      </c>
      <c r="E82" s="4">
        <v>647618</v>
      </c>
      <c r="K82" s="3">
        <f>+E81+E82</f>
        <v>3410815</v>
      </c>
      <c r="L82" s="3">
        <f>+J80+K82</f>
        <v>3862207</v>
      </c>
      <c r="M82" s="21">
        <f>+J80/L82</f>
        <v>0.11687410850842536</v>
      </c>
    </row>
    <row r="83" spans="3:13" ht="15" customHeight="1" x14ac:dyDescent="0.4">
      <c r="C83" s="36" t="s">
        <v>9</v>
      </c>
      <c r="D83" s="1" t="s">
        <v>11</v>
      </c>
      <c r="E83" s="6">
        <v>51</v>
      </c>
    </row>
    <row r="84" spans="3:13" ht="15" customHeight="1" x14ac:dyDescent="0.4">
      <c r="C84" s="36"/>
      <c r="D84" s="1" t="s">
        <v>12</v>
      </c>
      <c r="E84" s="6">
        <v>825</v>
      </c>
    </row>
    <row r="85" spans="3:13" ht="15" customHeight="1" x14ac:dyDescent="0.4">
      <c r="C85" s="36"/>
      <c r="D85" s="1" t="s">
        <v>13</v>
      </c>
      <c r="E85" s="4">
        <v>1451</v>
      </c>
    </row>
    <row r="86" spans="3:13" ht="15" customHeight="1" x14ac:dyDescent="0.4">
      <c r="C86" s="36"/>
      <c r="D86" s="1" t="s">
        <v>14</v>
      </c>
      <c r="E86" s="4">
        <v>6799</v>
      </c>
    </row>
    <row r="87" spans="3:13" ht="15" customHeight="1" x14ac:dyDescent="0.4">
      <c r="C87" s="36"/>
      <c r="D87" s="1" t="s">
        <v>15</v>
      </c>
      <c r="E87" s="4">
        <v>5877</v>
      </c>
      <c r="J87" s="3">
        <f>+SUM(E83:E87)</f>
        <v>15003</v>
      </c>
      <c r="M87" s="21"/>
    </row>
    <row r="88" spans="3:13" ht="15" customHeight="1" x14ac:dyDescent="0.4">
      <c r="C88" s="36"/>
      <c r="D88" s="1" t="s">
        <v>16</v>
      </c>
      <c r="E88" s="4">
        <v>80056</v>
      </c>
    </row>
    <row r="89" spans="3:13" ht="15" customHeight="1" x14ac:dyDescent="0.4">
      <c r="C89" s="36"/>
      <c r="D89" s="1" t="s">
        <v>17</v>
      </c>
      <c r="E89" s="4">
        <v>18747</v>
      </c>
      <c r="K89" s="3">
        <f>+E88+E89</f>
        <v>98803</v>
      </c>
      <c r="L89" s="3">
        <f>+J87+K89</f>
        <v>113806</v>
      </c>
      <c r="M89" s="21">
        <f>+J87/L89</f>
        <v>0.1318296047660053</v>
      </c>
    </row>
    <row r="93" spans="3:13" ht="15" customHeight="1" x14ac:dyDescent="0.4">
      <c r="C93" s="8" t="s">
        <v>25</v>
      </c>
      <c r="D93" s="8"/>
      <c r="E93" s="8"/>
      <c r="F93" s="8"/>
      <c r="G93" s="7"/>
      <c r="H93" s="7"/>
      <c r="I93" s="7"/>
      <c r="J93" s="9"/>
    </row>
    <row r="94" spans="3:13" ht="15" customHeight="1" x14ac:dyDescent="0.4">
      <c r="C94" s="1" t="s">
        <v>3</v>
      </c>
      <c r="D94" s="1" t="e" vm="1">
        <v>#VALUE!</v>
      </c>
      <c r="E94" s="1" t="s">
        <v>10</v>
      </c>
      <c r="F94" s="1"/>
      <c r="G94" s="2" t="s">
        <v>4</v>
      </c>
      <c r="H94" s="1" t="e" vm="2">
        <v>#VALUE!</v>
      </c>
      <c r="I94" s="1" t="e" vm="3">
        <v>#VALUE!</v>
      </c>
    </row>
    <row r="95" spans="3:13" ht="15" customHeight="1" x14ac:dyDescent="0.4">
      <c r="C95" s="36" t="s">
        <v>5</v>
      </c>
      <c r="D95" s="36"/>
      <c r="E95" s="1" t="s">
        <v>12</v>
      </c>
      <c r="F95" s="34">
        <v>62</v>
      </c>
      <c r="G95" s="34"/>
      <c r="H95" s="34"/>
      <c r="I95" s="34"/>
    </row>
    <row r="96" spans="3:13" ht="15" customHeight="1" x14ac:dyDescent="0.4">
      <c r="C96" s="36"/>
      <c r="D96" s="36"/>
      <c r="E96" s="1" t="s">
        <v>13</v>
      </c>
      <c r="F96" s="34">
        <v>95</v>
      </c>
      <c r="G96" s="34"/>
      <c r="H96" s="34"/>
      <c r="I96" s="34"/>
    </row>
    <row r="97" spans="3:13" ht="15" customHeight="1" x14ac:dyDescent="0.4">
      <c r="C97" s="36"/>
      <c r="D97" s="36"/>
      <c r="E97" s="1" t="s">
        <v>14</v>
      </c>
      <c r="F97" s="34">
        <v>481</v>
      </c>
      <c r="G97" s="34"/>
      <c r="H97" s="34"/>
      <c r="I97" s="34"/>
    </row>
    <row r="98" spans="3:13" ht="15" customHeight="1" x14ac:dyDescent="0.4">
      <c r="C98" s="36"/>
      <c r="D98" s="36"/>
      <c r="E98" s="1" t="s">
        <v>15</v>
      </c>
      <c r="F98" s="34">
        <v>357</v>
      </c>
      <c r="G98" s="34"/>
      <c r="H98" s="34"/>
      <c r="I98" s="34"/>
      <c r="J98" s="3">
        <f>+SUM(F95:I98)</f>
        <v>995</v>
      </c>
    </row>
    <row r="99" spans="3:13" ht="15" customHeight="1" x14ac:dyDescent="0.4">
      <c r="C99" s="36"/>
      <c r="D99" s="36"/>
      <c r="E99" s="1" t="s">
        <v>16</v>
      </c>
      <c r="F99" s="35">
        <v>2769</v>
      </c>
      <c r="G99" s="35"/>
      <c r="H99" s="35"/>
      <c r="I99" s="35"/>
    </row>
    <row r="100" spans="3:13" ht="15" customHeight="1" x14ac:dyDescent="0.4">
      <c r="C100" s="36"/>
      <c r="D100" s="36"/>
      <c r="E100" s="1" t="s">
        <v>17</v>
      </c>
      <c r="F100" s="34">
        <v>374</v>
      </c>
      <c r="G100" s="34"/>
      <c r="H100" s="34"/>
      <c r="I100" s="34"/>
      <c r="K100" s="3">
        <f>+SUM(F99:I100)</f>
        <v>3143</v>
      </c>
      <c r="L100" s="3">
        <f>+J98+K100</f>
        <v>4138</v>
      </c>
      <c r="M100" s="21">
        <f>+J98/L100</f>
        <v>0.24045432576123732</v>
      </c>
    </row>
    <row r="101" spans="3:13" ht="15" customHeight="1" x14ac:dyDescent="0.4">
      <c r="C101" s="36" t="s">
        <v>2</v>
      </c>
      <c r="D101" s="36"/>
      <c r="E101" s="1" t="s">
        <v>12</v>
      </c>
      <c r="F101" s="34">
        <v>27</v>
      </c>
      <c r="G101" s="34"/>
      <c r="H101" s="34"/>
      <c r="I101" s="34"/>
    </row>
    <row r="102" spans="3:13" ht="15" customHeight="1" x14ac:dyDescent="0.4">
      <c r="C102" s="36"/>
      <c r="D102" s="36"/>
      <c r="E102" s="1" t="s">
        <v>13</v>
      </c>
      <c r="F102" s="34">
        <v>48</v>
      </c>
      <c r="G102" s="34"/>
      <c r="H102" s="34"/>
      <c r="I102" s="34"/>
    </row>
    <row r="103" spans="3:13" ht="15" customHeight="1" x14ac:dyDescent="0.4">
      <c r="C103" s="36"/>
      <c r="D103" s="36"/>
      <c r="E103" s="1" t="s">
        <v>14</v>
      </c>
      <c r="F103" s="34">
        <v>191</v>
      </c>
      <c r="G103" s="34"/>
      <c r="H103" s="34"/>
      <c r="I103" s="34"/>
    </row>
    <row r="104" spans="3:13" ht="15" customHeight="1" x14ac:dyDescent="0.4">
      <c r="C104" s="36"/>
      <c r="D104" s="36"/>
      <c r="E104" s="1" t="s">
        <v>15</v>
      </c>
      <c r="F104" s="34">
        <v>142</v>
      </c>
      <c r="G104" s="34"/>
      <c r="H104" s="34"/>
      <c r="I104" s="34"/>
      <c r="J104" s="3">
        <f>+SUM(F101:I104)</f>
        <v>408</v>
      </c>
    </row>
    <row r="105" spans="3:13" ht="15" customHeight="1" x14ac:dyDescent="0.4">
      <c r="C105" s="36"/>
      <c r="D105" s="36"/>
      <c r="E105" s="1" t="s">
        <v>16</v>
      </c>
      <c r="F105" s="35">
        <v>1520</v>
      </c>
      <c r="G105" s="35"/>
      <c r="H105" s="35"/>
      <c r="I105" s="35"/>
    </row>
    <row r="106" spans="3:13" ht="15" customHeight="1" x14ac:dyDescent="0.4">
      <c r="C106" s="36"/>
      <c r="D106" s="36"/>
      <c r="E106" s="1" t="s">
        <v>17</v>
      </c>
      <c r="F106" s="34">
        <v>225</v>
      </c>
      <c r="G106" s="34"/>
      <c r="H106" s="34"/>
      <c r="I106" s="34"/>
      <c r="K106" s="3">
        <f>+SUM(F105:I106)</f>
        <v>1745</v>
      </c>
      <c r="L106" s="3">
        <f>+J104+K106</f>
        <v>2153</v>
      </c>
      <c r="M106" s="21">
        <f>+J104/L106</f>
        <v>0.18950301904319555</v>
      </c>
    </row>
    <row r="107" spans="3:13" ht="15" customHeight="1" x14ac:dyDescent="0.4">
      <c r="C107" s="36" t="s">
        <v>6</v>
      </c>
      <c r="D107" s="36"/>
      <c r="E107" s="1" t="s">
        <v>11</v>
      </c>
      <c r="F107" s="34">
        <v>32</v>
      </c>
      <c r="G107" s="34"/>
      <c r="H107" s="34"/>
      <c r="I107" s="34"/>
    </row>
    <row r="108" spans="3:13" ht="15" customHeight="1" x14ac:dyDescent="0.4">
      <c r="C108" s="36"/>
      <c r="D108" s="36"/>
      <c r="E108" s="1" t="s">
        <v>12</v>
      </c>
      <c r="F108" s="34">
        <v>726</v>
      </c>
      <c r="G108" s="34"/>
      <c r="H108" s="34"/>
      <c r="I108" s="34"/>
    </row>
    <row r="109" spans="3:13" ht="15" customHeight="1" x14ac:dyDescent="0.4">
      <c r="C109" s="36"/>
      <c r="D109" s="36"/>
      <c r="E109" s="1" t="s">
        <v>13</v>
      </c>
      <c r="F109" s="35">
        <v>1036</v>
      </c>
      <c r="G109" s="35"/>
      <c r="H109" s="35"/>
      <c r="I109" s="35"/>
    </row>
    <row r="110" spans="3:13" ht="15" customHeight="1" x14ac:dyDescent="0.4">
      <c r="C110" s="36"/>
      <c r="D110" s="36"/>
      <c r="E110" s="1" t="s">
        <v>14</v>
      </c>
      <c r="F110" s="35">
        <v>3919</v>
      </c>
      <c r="G110" s="35"/>
      <c r="H110" s="35"/>
      <c r="I110" s="35"/>
    </row>
    <row r="111" spans="3:13" ht="15" customHeight="1" x14ac:dyDescent="0.4">
      <c r="C111" s="36"/>
      <c r="D111" s="36"/>
      <c r="E111" s="1" t="s">
        <v>15</v>
      </c>
      <c r="F111" s="35">
        <v>2628</v>
      </c>
      <c r="G111" s="35"/>
      <c r="H111" s="35"/>
      <c r="I111" s="35"/>
      <c r="J111" s="3">
        <f>+SUM(F108:I111)</f>
        <v>8309</v>
      </c>
    </row>
    <row r="112" spans="3:13" ht="15" customHeight="1" x14ac:dyDescent="0.4">
      <c r="C112" s="36"/>
      <c r="D112" s="36"/>
      <c r="E112" s="1" t="s">
        <v>16</v>
      </c>
      <c r="F112" s="35">
        <v>20205</v>
      </c>
      <c r="G112" s="35"/>
      <c r="H112" s="35"/>
      <c r="I112" s="35"/>
    </row>
    <row r="113" spans="3:13" ht="15" customHeight="1" x14ac:dyDescent="0.4">
      <c r="C113" s="36"/>
      <c r="D113" s="36"/>
      <c r="E113" s="1" t="s">
        <v>17</v>
      </c>
      <c r="F113" s="35">
        <v>2440</v>
      </c>
      <c r="G113" s="35"/>
      <c r="H113" s="35"/>
      <c r="I113" s="35"/>
      <c r="K113" s="3">
        <f>+SUM(F112:I113)</f>
        <v>22645</v>
      </c>
      <c r="L113" s="3">
        <f>+J111+K113</f>
        <v>30954</v>
      </c>
      <c r="M113" s="21">
        <f>+J111/L113</f>
        <v>0.26843057440072365</v>
      </c>
    </row>
    <row r="114" spans="3:13" ht="15" customHeight="1" x14ac:dyDescent="0.4">
      <c r="C114" s="36" t="s">
        <v>7</v>
      </c>
      <c r="D114" s="36"/>
      <c r="E114" s="1" t="s">
        <v>12</v>
      </c>
      <c r="F114" s="34">
        <v>17</v>
      </c>
      <c r="G114" s="34"/>
      <c r="H114" s="34"/>
      <c r="I114" s="34"/>
    </row>
    <row r="115" spans="3:13" ht="15" customHeight="1" x14ac:dyDescent="0.4">
      <c r="C115" s="36"/>
      <c r="D115" s="36"/>
      <c r="E115" s="1" t="s">
        <v>13</v>
      </c>
      <c r="F115" s="34">
        <v>10</v>
      </c>
      <c r="G115" s="34"/>
      <c r="H115" s="34"/>
      <c r="I115" s="34"/>
    </row>
    <row r="116" spans="3:13" ht="15" customHeight="1" x14ac:dyDescent="0.4">
      <c r="C116" s="36"/>
      <c r="D116" s="36"/>
      <c r="E116" s="1" t="s">
        <v>14</v>
      </c>
      <c r="F116" s="34">
        <v>43</v>
      </c>
      <c r="G116" s="34"/>
      <c r="H116" s="34"/>
      <c r="I116" s="34"/>
    </row>
    <row r="117" spans="3:13" ht="15" customHeight="1" x14ac:dyDescent="0.4">
      <c r="C117" s="36"/>
      <c r="D117" s="36"/>
      <c r="E117" s="1" t="s">
        <v>15</v>
      </c>
      <c r="F117" s="34">
        <v>41</v>
      </c>
      <c r="G117" s="34"/>
      <c r="H117" s="34"/>
      <c r="I117" s="34"/>
      <c r="J117" s="3">
        <f>+SUM(F114:I117)</f>
        <v>111</v>
      </c>
    </row>
    <row r="118" spans="3:13" ht="15" customHeight="1" x14ac:dyDescent="0.4">
      <c r="C118" s="36"/>
      <c r="D118" s="36"/>
      <c r="E118" s="1" t="s">
        <v>16</v>
      </c>
      <c r="F118" s="34">
        <v>335</v>
      </c>
      <c r="G118" s="34"/>
      <c r="H118" s="34"/>
      <c r="I118" s="34"/>
    </row>
    <row r="119" spans="3:13" ht="15" customHeight="1" x14ac:dyDescent="0.4">
      <c r="C119" s="36"/>
      <c r="D119" s="36"/>
      <c r="E119" s="1" t="s">
        <v>17</v>
      </c>
      <c r="F119" s="34">
        <v>68</v>
      </c>
      <c r="G119" s="34"/>
      <c r="H119" s="34"/>
      <c r="I119" s="34"/>
      <c r="K119" s="3">
        <f>+SUM(F118:I119)</f>
        <v>403</v>
      </c>
      <c r="L119" s="3">
        <f>+J117+K119</f>
        <v>514</v>
      </c>
      <c r="M119" s="21">
        <f>+J117/L119</f>
        <v>0.21595330739299612</v>
      </c>
    </row>
    <row r="120" spans="3:13" ht="15" customHeight="1" x14ac:dyDescent="0.4">
      <c r="C120" s="36" t="s">
        <v>8</v>
      </c>
      <c r="D120" s="36"/>
      <c r="E120" s="1" t="s">
        <v>11</v>
      </c>
      <c r="F120" s="34">
        <v>73</v>
      </c>
      <c r="G120" s="34"/>
      <c r="H120" s="34"/>
      <c r="I120" s="34"/>
    </row>
    <row r="121" spans="3:13" ht="15" customHeight="1" x14ac:dyDescent="0.4">
      <c r="C121" s="36"/>
      <c r="D121" s="36"/>
      <c r="E121" s="1" t="s">
        <v>12</v>
      </c>
      <c r="F121" s="35">
        <v>1614</v>
      </c>
      <c r="G121" s="35"/>
      <c r="H121" s="35"/>
      <c r="I121" s="35"/>
    </row>
    <row r="122" spans="3:13" ht="15" customHeight="1" x14ac:dyDescent="0.4">
      <c r="C122" s="36"/>
      <c r="D122" s="36"/>
      <c r="E122" s="1" t="s">
        <v>13</v>
      </c>
      <c r="F122" s="35">
        <v>3050</v>
      </c>
      <c r="G122" s="35"/>
      <c r="H122" s="35"/>
      <c r="I122" s="35"/>
    </row>
    <row r="123" spans="3:13" ht="15" customHeight="1" x14ac:dyDescent="0.4">
      <c r="C123" s="36"/>
      <c r="D123" s="36"/>
      <c r="E123" s="1" t="s">
        <v>14</v>
      </c>
      <c r="F123" s="35">
        <v>15112</v>
      </c>
      <c r="G123" s="35"/>
      <c r="H123" s="35"/>
      <c r="I123" s="35"/>
    </row>
    <row r="124" spans="3:13" ht="15" customHeight="1" x14ac:dyDescent="0.4">
      <c r="C124" s="36"/>
      <c r="D124" s="36"/>
      <c r="E124" s="1" t="s">
        <v>15</v>
      </c>
      <c r="F124" s="35">
        <v>11184</v>
      </c>
      <c r="G124" s="35"/>
      <c r="H124" s="35"/>
      <c r="I124" s="35"/>
      <c r="J124" s="3">
        <f>+SUM(F121:I124)</f>
        <v>30960</v>
      </c>
    </row>
    <row r="125" spans="3:13" ht="15" customHeight="1" x14ac:dyDescent="0.4">
      <c r="C125" s="36"/>
      <c r="D125" s="36"/>
      <c r="E125" s="1" t="s">
        <v>16</v>
      </c>
      <c r="F125" s="35">
        <v>110990</v>
      </c>
      <c r="G125" s="35"/>
      <c r="H125" s="35"/>
      <c r="I125" s="35"/>
    </row>
    <row r="126" spans="3:13" ht="15" customHeight="1" x14ac:dyDescent="0.4">
      <c r="C126" s="36"/>
      <c r="D126" s="36"/>
      <c r="E126" s="1" t="s">
        <v>17</v>
      </c>
      <c r="F126" s="35">
        <v>16272</v>
      </c>
      <c r="G126" s="35"/>
      <c r="H126" s="35"/>
      <c r="I126" s="35"/>
      <c r="K126" s="3">
        <f>+SUM(F125:I126)</f>
        <v>127262</v>
      </c>
      <c r="L126" s="3">
        <f>+J124+K126</f>
        <v>158222</v>
      </c>
      <c r="M126" s="21">
        <f>+J124/L126</f>
        <v>0.19567443212701141</v>
      </c>
    </row>
    <row r="127" spans="3:13" ht="15" customHeight="1" x14ac:dyDescent="0.4">
      <c r="C127" s="36" t="s">
        <v>9</v>
      </c>
      <c r="D127" s="36"/>
      <c r="E127" s="1" t="s">
        <v>12</v>
      </c>
      <c r="F127" s="34">
        <v>79</v>
      </c>
      <c r="G127" s="34"/>
      <c r="H127" s="34"/>
      <c r="I127" s="34"/>
    </row>
    <row r="128" spans="3:13" ht="15" customHeight="1" x14ac:dyDescent="0.4">
      <c r="C128" s="36"/>
      <c r="D128" s="36"/>
      <c r="E128" s="1" t="s">
        <v>13</v>
      </c>
      <c r="F128" s="34">
        <v>161</v>
      </c>
      <c r="G128" s="34"/>
      <c r="H128" s="34"/>
      <c r="I128" s="34"/>
    </row>
    <row r="129" spans="3:13" ht="15" customHeight="1" x14ac:dyDescent="0.4">
      <c r="C129" s="36"/>
      <c r="D129" s="36"/>
      <c r="E129" s="1" t="s">
        <v>14</v>
      </c>
      <c r="F129" s="34">
        <v>734</v>
      </c>
      <c r="G129" s="34"/>
      <c r="H129" s="34"/>
      <c r="I129" s="34"/>
    </row>
    <row r="130" spans="3:13" ht="15" customHeight="1" x14ac:dyDescent="0.4">
      <c r="C130" s="36"/>
      <c r="D130" s="36"/>
      <c r="E130" s="1" t="s">
        <v>15</v>
      </c>
      <c r="F130" s="34">
        <v>519</v>
      </c>
      <c r="G130" s="34"/>
      <c r="H130" s="34"/>
      <c r="I130" s="34"/>
      <c r="J130" s="3">
        <f>+SUM(F127:I130)</f>
        <v>1493</v>
      </c>
    </row>
    <row r="131" spans="3:13" ht="15" customHeight="1" x14ac:dyDescent="0.4">
      <c r="C131" s="36"/>
      <c r="D131" s="36"/>
      <c r="E131" s="1" t="s">
        <v>16</v>
      </c>
      <c r="F131" s="35">
        <v>4782</v>
      </c>
      <c r="G131" s="35"/>
      <c r="H131" s="35"/>
      <c r="I131" s="35"/>
    </row>
    <row r="132" spans="3:13" ht="15" customHeight="1" x14ac:dyDescent="0.4">
      <c r="C132" s="36"/>
      <c r="D132" s="36"/>
      <c r="E132" s="1" t="s">
        <v>17</v>
      </c>
      <c r="F132" s="34">
        <v>729</v>
      </c>
      <c r="G132" s="34"/>
      <c r="H132" s="34"/>
      <c r="I132" s="34"/>
      <c r="K132" s="3">
        <f>+SUM(F131:I132)</f>
        <v>5511</v>
      </c>
      <c r="L132" s="3">
        <f>+J130+K132</f>
        <v>7004</v>
      </c>
      <c r="M132" s="21">
        <f>+J130/L132</f>
        <v>0.21316390633923471</v>
      </c>
    </row>
    <row r="136" spans="3:13" ht="15" customHeight="1" x14ac:dyDescent="0.4">
      <c r="C136" s="8" t="s">
        <v>26</v>
      </c>
      <c r="D136" s="8"/>
      <c r="E136" s="8"/>
      <c r="F136" s="8"/>
      <c r="G136" s="7"/>
      <c r="H136" s="7"/>
      <c r="I136" s="7"/>
      <c r="J136" s="9"/>
      <c r="K136" s="9"/>
    </row>
    <row r="137" spans="3:13" ht="15" customHeight="1" x14ac:dyDescent="0.4">
      <c r="C137" s="1" t="s">
        <v>3</v>
      </c>
      <c r="D137" s="1" t="e" vm="1">
        <v>#VALUE!</v>
      </c>
      <c r="E137" s="1" t="s">
        <v>10</v>
      </c>
      <c r="F137" s="1"/>
      <c r="G137" s="2" t="s">
        <v>4</v>
      </c>
      <c r="H137" s="1" t="e" vm="2">
        <v>#VALUE!</v>
      </c>
      <c r="I137" s="1" t="e" vm="3">
        <v>#VALUE!</v>
      </c>
    </row>
    <row r="138" spans="3:13" ht="15" customHeight="1" x14ac:dyDescent="0.4">
      <c r="C138" s="36" t="s">
        <v>5</v>
      </c>
      <c r="D138" s="36"/>
      <c r="E138" s="1" t="s">
        <v>11</v>
      </c>
      <c r="F138" s="34">
        <v>44</v>
      </c>
      <c r="G138" s="34"/>
      <c r="H138" s="34"/>
      <c r="I138" s="34"/>
    </row>
    <row r="139" spans="3:13" ht="15" customHeight="1" x14ac:dyDescent="0.4">
      <c r="C139" s="36"/>
      <c r="D139" s="36"/>
      <c r="E139" s="1" t="s">
        <v>12</v>
      </c>
      <c r="F139" s="34">
        <v>718</v>
      </c>
      <c r="G139" s="34"/>
      <c r="H139" s="34"/>
      <c r="I139" s="34"/>
    </row>
    <row r="140" spans="3:13" ht="15" customHeight="1" x14ac:dyDescent="0.4">
      <c r="C140" s="36"/>
      <c r="D140" s="36"/>
      <c r="E140" s="1" t="s">
        <v>13</v>
      </c>
      <c r="F140" s="35">
        <v>1201</v>
      </c>
      <c r="G140" s="35"/>
      <c r="H140" s="35"/>
      <c r="I140" s="35"/>
    </row>
    <row r="141" spans="3:13" ht="15" customHeight="1" x14ac:dyDescent="0.4">
      <c r="C141" s="36"/>
      <c r="D141" s="36"/>
      <c r="E141" s="1" t="s">
        <v>14</v>
      </c>
      <c r="F141" s="35">
        <v>5876</v>
      </c>
      <c r="G141" s="35"/>
      <c r="H141" s="35"/>
      <c r="I141" s="35"/>
    </row>
    <row r="142" spans="3:13" ht="15" customHeight="1" x14ac:dyDescent="0.4">
      <c r="C142" s="36"/>
      <c r="D142" s="36"/>
      <c r="E142" s="1" t="s">
        <v>15</v>
      </c>
      <c r="F142" s="35">
        <v>5814</v>
      </c>
      <c r="G142" s="35"/>
      <c r="H142" s="35"/>
      <c r="I142" s="35"/>
      <c r="J142" s="3">
        <f>+SUM(F138:I142)</f>
        <v>13653</v>
      </c>
    </row>
    <row r="143" spans="3:13" ht="15" customHeight="1" x14ac:dyDescent="0.4">
      <c r="C143" s="36"/>
      <c r="D143" s="36"/>
      <c r="E143" s="1" t="s">
        <v>16</v>
      </c>
      <c r="F143" s="35">
        <v>92524</v>
      </c>
      <c r="G143" s="35"/>
      <c r="H143" s="35"/>
      <c r="I143" s="35"/>
    </row>
    <row r="144" spans="3:13" ht="15" customHeight="1" x14ac:dyDescent="0.4">
      <c r="C144" s="36"/>
      <c r="D144" s="36"/>
      <c r="E144" s="1" t="s">
        <v>17</v>
      </c>
      <c r="F144" s="35">
        <v>27099</v>
      </c>
      <c r="G144" s="35"/>
      <c r="H144" s="35"/>
      <c r="I144" s="35"/>
      <c r="K144" s="3">
        <f>+SUM(F143:I144)</f>
        <v>119623</v>
      </c>
      <c r="L144" s="3">
        <f>+J142+K144</f>
        <v>133276</v>
      </c>
      <c r="M144" s="21">
        <f>+J142/L144</f>
        <v>0.10244154986644258</v>
      </c>
    </row>
    <row r="145" spans="3:13" ht="15" customHeight="1" x14ac:dyDescent="0.4">
      <c r="C145" s="36" t="s">
        <v>2</v>
      </c>
      <c r="D145" s="36"/>
      <c r="E145" s="1" t="s">
        <v>11</v>
      </c>
      <c r="F145" s="34">
        <v>163</v>
      </c>
      <c r="G145" s="34"/>
      <c r="H145" s="34"/>
      <c r="I145" s="34"/>
    </row>
    <row r="146" spans="3:13" ht="15" customHeight="1" x14ac:dyDescent="0.4">
      <c r="C146" s="36"/>
      <c r="D146" s="36"/>
      <c r="E146" s="1" t="s">
        <v>12</v>
      </c>
      <c r="F146" s="35">
        <v>2383</v>
      </c>
      <c r="G146" s="35"/>
      <c r="H146" s="35"/>
      <c r="I146" s="35"/>
    </row>
    <row r="147" spans="3:13" ht="15" customHeight="1" x14ac:dyDescent="0.4">
      <c r="C147" s="36"/>
      <c r="D147" s="36"/>
      <c r="E147" s="1" t="s">
        <v>13</v>
      </c>
      <c r="F147" s="35">
        <v>3396</v>
      </c>
      <c r="G147" s="35"/>
      <c r="H147" s="35"/>
      <c r="I147" s="35"/>
    </row>
    <row r="148" spans="3:13" ht="15" customHeight="1" x14ac:dyDescent="0.4">
      <c r="C148" s="36"/>
      <c r="D148" s="36"/>
      <c r="E148" s="1" t="s">
        <v>14</v>
      </c>
      <c r="F148" s="35">
        <v>18738</v>
      </c>
      <c r="G148" s="35"/>
      <c r="H148" s="35"/>
      <c r="I148" s="35"/>
    </row>
    <row r="149" spans="3:13" ht="15" customHeight="1" x14ac:dyDescent="0.4">
      <c r="C149" s="36"/>
      <c r="D149" s="36"/>
      <c r="E149" s="1" t="s">
        <v>15</v>
      </c>
      <c r="F149" s="35">
        <v>18468</v>
      </c>
      <c r="G149" s="35"/>
      <c r="H149" s="35"/>
      <c r="I149" s="35"/>
      <c r="J149" s="3">
        <f>+SUM(F145:I149)</f>
        <v>43148</v>
      </c>
    </row>
    <row r="150" spans="3:13" ht="15" customHeight="1" x14ac:dyDescent="0.4">
      <c r="C150" s="36"/>
      <c r="D150" s="36"/>
      <c r="E150" s="1" t="s">
        <v>16</v>
      </c>
      <c r="F150" s="35">
        <v>366869</v>
      </c>
      <c r="G150" s="35"/>
      <c r="H150" s="35"/>
      <c r="I150" s="35"/>
    </row>
    <row r="151" spans="3:13" ht="15" customHeight="1" x14ac:dyDescent="0.4">
      <c r="C151" s="36"/>
      <c r="D151" s="36"/>
      <c r="E151" s="1" t="s">
        <v>17</v>
      </c>
      <c r="F151" s="35">
        <v>122103</v>
      </c>
      <c r="G151" s="35"/>
      <c r="H151" s="35"/>
      <c r="I151" s="35"/>
      <c r="K151" s="3">
        <f>+SUM(F150:I151)</f>
        <v>488972</v>
      </c>
      <c r="L151" s="3">
        <f>+J149+K151</f>
        <v>532120</v>
      </c>
      <c r="M151" s="21">
        <f>+J149/L151</f>
        <v>8.1086972863263926E-2</v>
      </c>
    </row>
    <row r="152" spans="3:13" ht="15" customHeight="1" x14ac:dyDescent="0.4">
      <c r="C152" s="36" t="s">
        <v>6</v>
      </c>
      <c r="D152" s="36"/>
      <c r="E152" s="1" t="s">
        <v>11</v>
      </c>
      <c r="F152" s="35">
        <v>1986</v>
      </c>
      <c r="G152" s="35"/>
      <c r="H152" s="35"/>
      <c r="I152" s="35"/>
    </row>
    <row r="153" spans="3:13" ht="15" customHeight="1" x14ac:dyDescent="0.4">
      <c r="C153" s="36"/>
      <c r="D153" s="36"/>
      <c r="E153" s="1" t="s">
        <v>12</v>
      </c>
      <c r="F153" s="35">
        <v>29654</v>
      </c>
      <c r="G153" s="35"/>
      <c r="H153" s="35"/>
      <c r="I153" s="35"/>
    </row>
    <row r="154" spans="3:13" ht="15" customHeight="1" x14ac:dyDescent="0.4">
      <c r="C154" s="36"/>
      <c r="D154" s="36"/>
      <c r="E154" s="1" t="s">
        <v>13</v>
      </c>
      <c r="F154" s="35">
        <v>33394</v>
      </c>
      <c r="G154" s="35"/>
      <c r="H154" s="35"/>
      <c r="I154" s="35"/>
    </row>
    <row r="155" spans="3:13" ht="15" customHeight="1" x14ac:dyDescent="0.4">
      <c r="C155" s="36"/>
      <c r="D155" s="36"/>
      <c r="E155" s="1" t="s">
        <v>14</v>
      </c>
      <c r="F155" s="35">
        <v>132014</v>
      </c>
      <c r="G155" s="35"/>
      <c r="H155" s="35"/>
      <c r="I155" s="35"/>
    </row>
    <row r="156" spans="3:13" ht="15" customHeight="1" x14ac:dyDescent="0.4">
      <c r="C156" s="36"/>
      <c r="D156" s="36"/>
      <c r="E156" s="1" t="s">
        <v>15</v>
      </c>
      <c r="F156" s="35">
        <v>107731</v>
      </c>
      <c r="G156" s="35"/>
      <c r="H156" s="35"/>
      <c r="I156" s="35"/>
      <c r="J156" s="3">
        <f>+SUM(F152:I156)</f>
        <v>304779</v>
      </c>
    </row>
    <row r="157" spans="3:13" ht="15" customHeight="1" x14ac:dyDescent="0.4">
      <c r="C157" s="36"/>
      <c r="D157" s="36"/>
      <c r="E157" s="1" t="s">
        <v>16</v>
      </c>
      <c r="F157" s="35">
        <v>1552996</v>
      </c>
      <c r="G157" s="35"/>
      <c r="H157" s="35"/>
      <c r="I157" s="35"/>
    </row>
    <row r="158" spans="3:13" ht="15" customHeight="1" x14ac:dyDescent="0.4">
      <c r="C158" s="36"/>
      <c r="D158" s="36"/>
      <c r="E158" s="1" t="s">
        <v>17</v>
      </c>
      <c r="F158" s="35">
        <v>422311</v>
      </c>
      <c r="G158" s="35"/>
      <c r="H158" s="35"/>
      <c r="I158" s="35"/>
      <c r="K158" s="3">
        <f>+SUM(F157:I158)</f>
        <v>1975307</v>
      </c>
      <c r="L158" s="3">
        <f>+J156+K158</f>
        <v>2280086</v>
      </c>
      <c r="M158" s="21">
        <f>+J156/L158</f>
        <v>0.13366995806298534</v>
      </c>
    </row>
    <row r="159" spans="3:13" ht="15" customHeight="1" x14ac:dyDescent="0.4">
      <c r="C159" s="36" t="s">
        <v>7</v>
      </c>
      <c r="D159" s="36"/>
      <c r="E159" s="1" t="s">
        <v>11</v>
      </c>
      <c r="F159" s="34">
        <v>17</v>
      </c>
      <c r="G159" s="34"/>
      <c r="H159" s="34"/>
      <c r="I159" s="34"/>
    </row>
    <row r="160" spans="3:13" ht="15" customHeight="1" x14ac:dyDescent="0.4">
      <c r="C160" s="36"/>
      <c r="D160" s="36"/>
      <c r="E160" s="1" t="s">
        <v>12</v>
      </c>
      <c r="F160" s="34">
        <v>317</v>
      </c>
      <c r="G160" s="34"/>
      <c r="H160" s="34"/>
      <c r="I160" s="34"/>
    </row>
    <row r="161" spans="3:13" ht="15" customHeight="1" x14ac:dyDescent="0.4">
      <c r="C161" s="36"/>
      <c r="D161" s="36"/>
      <c r="E161" s="1" t="s">
        <v>13</v>
      </c>
      <c r="F161" s="34">
        <v>448</v>
      </c>
      <c r="G161" s="34"/>
      <c r="H161" s="34"/>
      <c r="I161" s="34"/>
    </row>
    <row r="162" spans="3:13" ht="15" customHeight="1" x14ac:dyDescent="0.4">
      <c r="C162" s="36"/>
      <c r="D162" s="36"/>
      <c r="E162" s="1" t="s">
        <v>14</v>
      </c>
      <c r="F162" s="35">
        <v>2387</v>
      </c>
      <c r="G162" s="35"/>
      <c r="H162" s="35"/>
      <c r="I162" s="35"/>
    </row>
    <row r="163" spans="3:13" ht="15" customHeight="1" x14ac:dyDescent="0.4">
      <c r="C163" s="36"/>
      <c r="D163" s="36"/>
      <c r="E163" s="1" t="s">
        <v>15</v>
      </c>
      <c r="F163" s="35">
        <v>2248</v>
      </c>
      <c r="G163" s="35"/>
      <c r="H163" s="35"/>
      <c r="I163" s="35"/>
      <c r="J163" s="3">
        <f>+SUM(F159:I163)</f>
        <v>5417</v>
      </c>
    </row>
    <row r="164" spans="3:13" ht="15" customHeight="1" x14ac:dyDescent="0.4">
      <c r="C164" s="36"/>
      <c r="D164" s="36"/>
      <c r="E164" s="1" t="s">
        <v>16</v>
      </c>
      <c r="F164" s="35">
        <v>34419</v>
      </c>
      <c r="G164" s="35"/>
      <c r="H164" s="35"/>
      <c r="I164" s="35"/>
    </row>
    <row r="165" spans="3:13" ht="15" customHeight="1" x14ac:dyDescent="0.4">
      <c r="C165" s="36"/>
      <c r="D165" s="36"/>
      <c r="E165" s="1" t="s">
        <v>17</v>
      </c>
      <c r="F165" s="35">
        <v>10906</v>
      </c>
      <c r="G165" s="35"/>
      <c r="H165" s="35"/>
      <c r="I165" s="35"/>
      <c r="K165" s="3">
        <f>+SUM(F164:I165)</f>
        <v>45325</v>
      </c>
      <c r="L165" s="3">
        <f>+J163+K165</f>
        <v>50742</v>
      </c>
      <c r="M165" s="21">
        <f>+J163/L165</f>
        <v>0.10675574474794056</v>
      </c>
    </row>
    <row r="166" spans="3:13" ht="15" customHeight="1" x14ac:dyDescent="0.4">
      <c r="C166" s="36" t="s">
        <v>8</v>
      </c>
      <c r="D166" s="36"/>
      <c r="E166" s="1" t="s">
        <v>11</v>
      </c>
      <c r="F166" s="35">
        <v>2175</v>
      </c>
      <c r="G166" s="35"/>
      <c r="H166" s="35"/>
      <c r="I166" s="35"/>
    </row>
    <row r="167" spans="3:13" ht="15" customHeight="1" x14ac:dyDescent="0.4">
      <c r="C167" s="36"/>
      <c r="D167" s="36"/>
      <c r="E167" s="1" t="s">
        <v>12</v>
      </c>
      <c r="F167" s="35">
        <v>42257</v>
      </c>
      <c r="G167" s="35"/>
      <c r="H167" s="35"/>
      <c r="I167" s="35"/>
    </row>
    <row r="168" spans="3:13" ht="15" customHeight="1" x14ac:dyDescent="0.4">
      <c r="C168" s="36"/>
      <c r="D168" s="36"/>
      <c r="E168" s="1" t="s">
        <v>13</v>
      </c>
      <c r="F168" s="35">
        <v>67029</v>
      </c>
      <c r="G168" s="35"/>
      <c r="H168" s="35"/>
      <c r="I168" s="35"/>
    </row>
    <row r="169" spans="3:13" ht="15" customHeight="1" x14ac:dyDescent="0.4">
      <c r="C169" s="36"/>
      <c r="D169" s="36"/>
      <c r="E169" s="1" t="s">
        <v>14</v>
      </c>
      <c r="F169" s="35">
        <v>359611</v>
      </c>
      <c r="G169" s="35"/>
      <c r="H169" s="35"/>
      <c r="I169" s="35"/>
    </row>
    <row r="170" spans="3:13" ht="15" customHeight="1" x14ac:dyDescent="0.4">
      <c r="C170" s="36"/>
      <c r="D170" s="36"/>
      <c r="E170" s="1" t="s">
        <v>15</v>
      </c>
      <c r="F170" s="35">
        <v>341793</v>
      </c>
      <c r="G170" s="35"/>
      <c r="H170" s="35"/>
      <c r="I170" s="35"/>
      <c r="J170" s="3">
        <f>+SUM(F166:I170)</f>
        <v>812865</v>
      </c>
    </row>
    <row r="171" spans="3:13" ht="15" customHeight="1" x14ac:dyDescent="0.4">
      <c r="C171" s="36"/>
      <c r="D171" s="36"/>
      <c r="E171" s="1" t="s">
        <v>16</v>
      </c>
      <c r="F171" s="35">
        <v>6125055</v>
      </c>
      <c r="G171" s="35"/>
      <c r="H171" s="35"/>
      <c r="I171" s="35"/>
    </row>
    <row r="172" spans="3:13" ht="15" customHeight="1" x14ac:dyDescent="0.4">
      <c r="C172" s="36"/>
      <c r="D172" s="36"/>
      <c r="E172" s="1" t="s">
        <v>17</v>
      </c>
      <c r="F172" s="35">
        <v>1969918</v>
      </c>
      <c r="G172" s="35"/>
      <c r="H172" s="35"/>
      <c r="I172" s="35"/>
      <c r="K172" s="3">
        <f>+SUM(F171:I172)</f>
        <v>8094973</v>
      </c>
      <c r="L172" s="3">
        <f>+J170+K172</f>
        <v>8907838</v>
      </c>
      <c r="M172" s="21">
        <f>+J170/L172</f>
        <v>9.1252782100437843E-2</v>
      </c>
    </row>
    <row r="173" spans="3:13" ht="15" customHeight="1" x14ac:dyDescent="0.4">
      <c r="C173" s="36" t="s">
        <v>9</v>
      </c>
      <c r="D173" s="36"/>
      <c r="E173" s="1" t="s">
        <v>11</v>
      </c>
      <c r="F173" s="34">
        <v>132</v>
      </c>
      <c r="G173" s="34"/>
      <c r="H173" s="34"/>
      <c r="I173" s="34"/>
    </row>
    <row r="174" spans="3:13" ht="15" customHeight="1" x14ac:dyDescent="0.4">
      <c r="C174" s="36"/>
      <c r="D174" s="36"/>
      <c r="E174" s="1" t="s">
        <v>12</v>
      </c>
      <c r="F174" s="35">
        <v>2429</v>
      </c>
      <c r="G174" s="35"/>
      <c r="H174" s="35"/>
      <c r="I174" s="35"/>
    </row>
    <row r="175" spans="3:13" ht="15" customHeight="1" x14ac:dyDescent="0.4">
      <c r="C175" s="36"/>
      <c r="D175" s="36"/>
      <c r="E175" s="1" t="s">
        <v>13</v>
      </c>
      <c r="F175" s="35">
        <v>3428</v>
      </c>
      <c r="G175" s="35"/>
      <c r="H175" s="35"/>
      <c r="I175" s="35"/>
    </row>
    <row r="176" spans="3:13" ht="15" customHeight="1" x14ac:dyDescent="0.4">
      <c r="C176" s="36"/>
      <c r="D176" s="36"/>
      <c r="E176" s="1" t="s">
        <v>14</v>
      </c>
      <c r="F176" s="35">
        <v>16786</v>
      </c>
      <c r="G176" s="35"/>
      <c r="H176" s="35"/>
      <c r="I176" s="35"/>
    </row>
    <row r="177" spans="3:13" ht="15" customHeight="1" x14ac:dyDescent="0.4">
      <c r="C177" s="36"/>
      <c r="D177" s="36"/>
      <c r="E177" s="1" t="s">
        <v>15</v>
      </c>
      <c r="F177" s="35">
        <v>15391</v>
      </c>
      <c r="G177" s="35"/>
      <c r="H177" s="35"/>
      <c r="I177" s="35"/>
      <c r="J177" s="3">
        <f>+SUM(F173:I177)</f>
        <v>38166</v>
      </c>
    </row>
    <row r="178" spans="3:13" ht="15" customHeight="1" x14ac:dyDescent="0.4">
      <c r="C178" s="36"/>
      <c r="D178" s="36"/>
      <c r="E178" s="1" t="s">
        <v>16</v>
      </c>
      <c r="F178" s="35">
        <v>252851</v>
      </c>
      <c r="G178" s="35"/>
      <c r="H178" s="35"/>
      <c r="I178" s="35"/>
    </row>
    <row r="179" spans="3:13" ht="15" customHeight="1" x14ac:dyDescent="0.4">
      <c r="C179" s="36"/>
      <c r="D179" s="36"/>
      <c r="E179" s="1" t="s">
        <v>17</v>
      </c>
      <c r="F179" s="35">
        <v>79074</v>
      </c>
      <c r="G179" s="35"/>
      <c r="H179" s="35"/>
      <c r="I179" s="35"/>
      <c r="K179" s="3">
        <f>+SUM(F178:I179)</f>
        <v>331925</v>
      </c>
      <c r="L179" s="3">
        <f>+J177+K179</f>
        <v>370091</v>
      </c>
      <c r="M179" s="21">
        <f>+J177/L179</f>
        <v>0.10312598793269763</v>
      </c>
    </row>
  </sheetData>
  <mergeCells count="146">
    <mergeCell ref="C173:D179"/>
    <mergeCell ref="F173:I173"/>
    <mergeCell ref="F174:I174"/>
    <mergeCell ref="F175:I175"/>
    <mergeCell ref="F176:I176"/>
    <mergeCell ref="F177:I177"/>
    <mergeCell ref="F178:I178"/>
    <mergeCell ref="F179:I179"/>
    <mergeCell ref="C166:D172"/>
    <mergeCell ref="F166:I166"/>
    <mergeCell ref="F167:I167"/>
    <mergeCell ref="F168:I168"/>
    <mergeCell ref="F169:I169"/>
    <mergeCell ref="F170:I170"/>
    <mergeCell ref="F171:I171"/>
    <mergeCell ref="F172:I172"/>
    <mergeCell ref="C159:D165"/>
    <mergeCell ref="F159:I159"/>
    <mergeCell ref="F160:I160"/>
    <mergeCell ref="F161:I161"/>
    <mergeCell ref="F162:I162"/>
    <mergeCell ref="F163:I163"/>
    <mergeCell ref="F164:I164"/>
    <mergeCell ref="F165:I165"/>
    <mergeCell ref="F151:I151"/>
    <mergeCell ref="C152:D158"/>
    <mergeCell ref="F152:I152"/>
    <mergeCell ref="F153:I153"/>
    <mergeCell ref="F154:I154"/>
    <mergeCell ref="F155:I155"/>
    <mergeCell ref="F156:I156"/>
    <mergeCell ref="F157:I157"/>
    <mergeCell ref="F158:I158"/>
    <mergeCell ref="C138:D144"/>
    <mergeCell ref="C145:D151"/>
    <mergeCell ref="F147:I147"/>
    <mergeCell ref="F148:I148"/>
    <mergeCell ref="F149:I149"/>
    <mergeCell ref="F150:I150"/>
    <mergeCell ref="F129:I129"/>
    <mergeCell ref="F130:I130"/>
    <mergeCell ref="F131:I131"/>
    <mergeCell ref="F132:I132"/>
    <mergeCell ref="C127:D132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23:I123"/>
    <mergeCell ref="F124:I124"/>
    <mergeCell ref="F125:I125"/>
    <mergeCell ref="F126:I126"/>
    <mergeCell ref="F127:I127"/>
    <mergeCell ref="F128:I128"/>
    <mergeCell ref="C120:D126"/>
    <mergeCell ref="F116:I116"/>
    <mergeCell ref="F117:I117"/>
    <mergeCell ref="F118:I118"/>
    <mergeCell ref="F119:I119"/>
    <mergeCell ref="F120:I120"/>
    <mergeCell ref="F121:I121"/>
    <mergeCell ref="C114:D119"/>
    <mergeCell ref="F114:I114"/>
    <mergeCell ref="F115:I115"/>
    <mergeCell ref="F122:I122"/>
    <mergeCell ref="C101:D106"/>
    <mergeCell ref="F102:I102"/>
    <mergeCell ref="F103:I103"/>
    <mergeCell ref="F104:I104"/>
    <mergeCell ref="F105:I105"/>
    <mergeCell ref="F106:I106"/>
    <mergeCell ref="F107:I107"/>
    <mergeCell ref="F108:I108"/>
    <mergeCell ref="C95:D100"/>
    <mergeCell ref="F101:I101"/>
    <mergeCell ref="C107:D113"/>
    <mergeCell ref="F109:I109"/>
    <mergeCell ref="F110:I110"/>
    <mergeCell ref="F111:I111"/>
    <mergeCell ref="F112:I112"/>
    <mergeCell ref="F113:I113"/>
    <mergeCell ref="C70:C75"/>
    <mergeCell ref="C76:C82"/>
    <mergeCell ref="C83:C89"/>
    <mergeCell ref="F95:I95"/>
    <mergeCell ref="F96:I96"/>
    <mergeCell ref="F97:I97"/>
    <mergeCell ref="F98:I98"/>
    <mergeCell ref="F99:I99"/>
    <mergeCell ref="F100:I100"/>
    <mergeCell ref="C4:D10"/>
    <mergeCell ref="C11:D17"/>
    <mergeCell ref="F16:I16"/>
    <mergeCell ref="F17:I17"/>
    <mergeCell ref="C18:D24"/>
    <mergeCell ref="F18:I18"/>
    <mergeCell ref="F19:I19"/>
    <mergeCell ref="F20:I20"/>
    <mergeCell ref="F21:I21"/>
    <mergeCell ref="F9:I9"/>
    <mergeCell ref="F4:I4"/>
    <mergeCell ref="F5:I5"/>
    <mergeCell ref="F6:I6"/>
    <mergeCell ref="F7:I7"/>
    <mergeCell ref="F8:I8"/>
    <mergeCell ref="F10:I10"/>
    <mergeCell ref="F11:I11"/>
    <mergeCell ref="C25:D31"/>
    <mergeCell ref="C32:D38"/>
    <mergeCell ref="F34:I34"/>
    <mergeCell ref="F35:I35"/>
    <mergeCell ref="C49:C55"/>
    <mergeCell ref="C56:C62"/>
    <mergeCell ref="C63:C69"/>
    <mergeCell ref="F42:I42"/>
    <mergeCell ref="F43:I43"/>
    <mergeCell ref="F44:I44"/>
    <mergeCell ref="F45:I45"/>
    <mergeCell ref="C39:D45"/>
    <mergeCell ref="F39:I39"/>
    <mergeCell ref="F32:I32"/>
    <mergeCell ref="F33:I33"/>
    <mergeCell ref="F40:I40"/>
    <mergeCell ref="F41:I41"/>
    <mergeCell ref="F36:I36"/>
    <mergeCell ref="F37:I37"/>
    <mergeCell ref="F38:I38"/>
    <mergeCell ref="F28:I28"/>
    <mergeCell ref="F29:I29"/>
    <mergeCell ref="F30:I30"/>
    <mergeCell ref="F31:I31"/>
    <mergeCell ref="F25:I25"/>
    <mergeCell ref="F26:I26"/>
    <mergeCell ref="F27:I27"/>
    <mergeCell ref="F22:I22"/>
    <mergeCell ref="F23:I23"/>
    <mergeCell ref="F12:I12"/>
    <mergeCell ref="F13:I13"/>
    <mergeCell ref="F14:I14"/>
    <mergeCell ref="F15:I15"/>
    <mergeCell ref="F24:I24"/>
  </mergeCells>
  <hyperlinks>
    <hyperlink ref="G3" r:id="rId1" tooltip="Click to hide this measure column, use Options above to restore it." display="https://wonder.cdc.gov/controller/datarequest/D149;jsessionid=D57E724F4761A939AEBC457875A1?stage=results&amp;action=hide&amp;measure=D149.M002" xr:uid="{A2894E42-FB39-4D50-805A-ED3B72F856EA}"/>
    <hyperlink ref="G94" r:id="rId2" tooltip="Click to hide this measure column, use Options above to restore it." display="https://wonder.cdc.gov/controller/datarequest/D149;jsessionid=3A3BB1E38C63FE039C5B290EEB16?stage=results&amp;action=hide&amp;measure=D149.M002" xr:uid="{0F21DF21-2041-4103-BE37-5E22F7996807}"/>
    <hyperlink ref="G137" r:id="rId3" tooltip="Click to hide this measure column, use Options above to restore it." display="https://wonder.cdc.gov/controller/datarequest/D149;jsessionid=3A3BB1E38C63FE039C5B290EEB16?stage=results&amp;action=hide&amp;measure=D149.M002" xr:uid="{2B183122-6F5C-43AC-9E50-911ECA152FD1}"/>
  </hyperlinks>
  <pageMargins left="0.7" right="0.7" top="0.75" bottom="0.75" header="0.3" footer="0.3"/>
  <ignoredErrors>
    <ignoredError sqref="J5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5BB6-633D-4036-BEA8-C40967A9AEB9}">
  <dimension ref="B2:M206"/>
  <sheetViews>
    <sheetView topLeftCell="A133" workbookViewId="0">
      <selection activeCell="D209" sqref="D209"/>
    </sheetView>
  </sheetViews>
  <sheetFormatPr defaultRowHeight="16" customHeight="1" x14ac:dyDescent="0.4"/>
  <cols>
    <col min="3" max="3" width="9.15234375" customWidth="1"/>
    <col min="4" max="4" width="41.53515625" customWidth="1"/>
    <col min="5" max="5" width="23.69140625" customWidth="1"/>
    <col min="10" max="13" width="15.69140625" customWidth="1"/>
  </cols>
  <sheetData>
    <row r="2" spans="2:13" ht="16" customHeight="1" x14ac:dyDescent="0.4">
      <c r="B2" s="8" t="s">
        <v>26</v>
      </c>
      <c r="C2" s="8"/>
      <c r="D2" s="8"/>
      <c r="E2" s="8"/>
      <c r="F2" s="7"/>
      <c r="G2" s="7"/>
      <c r="H2" s="7"/>
      <c r="I2" s="9"/>
      <c r="J2" s="9"/>
    </row>
    <row r="3" spans="2:13" ht="71.25" customHeight="1" x14ac:dyDescent="0.4">
      <c r="B3" s="1" t="s">
        <v>3</v>
      </c>
      <c r="C3" s="1" t="e" vm="1">
        <v>#VALUE!</v>
      </c>
      <c r="D3" s="1" t="s">
        <v>37</v>
      </c>
      <c r="E3" s="1" t="s">
        <v>10</v>
      </c>
      <c r="F3" s="1"/>
      <c r="G3" s="2" t="s">
        <v>4</v>
      </c>
      <c r="H3" s="1" t="e" vm="2">
        <v>#VALUE!</v>
      </c>
      <c r="I3" s="1" t="e" vm="3">
        <v>#VALUE!</v>
      </c>
      <c r="J3" s="14" t="s">
        <v>19</v>
      </c>
      <c r="K3" s="14" t="s">
        <v>20</v>
      </c>
      <c r="L3" s="14" t="s">
        <v>21</v>
      </c>
      <c r="M3" s="17" t="s">
        <v>22</v>
      </c>
    </row>
    <row r="4" spans="2:13" s="24" customFormat="1" ht="16" customHeight="1" x14ac:dyDescent="0.4">
      <c r="B4" s="37" t="s">
        <v>2</v>
      </c>
      <c r="C4" s="37"/>
      <c r="D4" s="23" t="s">
        <v>27</v>
      </c>
      <c r="E4" s="23" t="s">
        <v>11</v>
      </c>
      <c r="F4" s="39">
        <v>11</v>
      </c>
      <c r="G4" s="39"/>
      <c r="H4" s="39"/>
      <c r="I4" s="39"/>
    </row>
    <row r="5" spans="2:13" s="24" customFormat="1" ht="16" customHeight="1" x14ac:dyDescent="0.4">
      <c r="B5" s="37" t="s">
        <v>2</v>
      </c>
      <c r="C5" s="37"/>
      <c r="D5" s="23" t="s">
        <v>27</v>
      </c>
      <c r="E5" s="23" t="s">
        <v>12</v>
      </c>
      <c r="F5" s="39">
        <v>171</v>
      </c>
      <c r="G5" s="39"/>
      <c r="H5" s="39"/>
      <c r="I5" s="39"/>
    </row>
    <row r="6" spans="2:13" s="24" customFormat="1" ht="16" customHeight="1" x14ac:dyDescent="0.4">
      <c r="B6" s="37" t="s">
        <v>2</v>
      </c>
      <c r="C6" s="37"/>
      <c r="D6" s="23" t="s">
        <v>27</v>
      </c>
      <c r="E6" s="23" t="s">
        <v>13</v>
      </c>
      <c r="F6" s="39">
        <v>269</v>
      </c>
      <c r="G6" s="39"/>
      <c r="H6" s="39"/>
      <c r="I6" s="39"/>
    </row>
    <row r="7" spans="2:13" s="24" customFormat="1" ht="16" customHeight="1" x14ac:dyDescent="0.4">
      <c r="B7" s="37" t="s">
        <v>2</v>
      </c>
      <c r="C7" s="37"/>
      <c r="D7" s="23" t="s">
        <v>27</v>
      </c>
      <c r="E7" s="23" t="s">
        <v>14</v>
      </c>
      <c r="F7" s="38">
        <v>1397</v>
      </c>
      <c r="G7" s="38"/>
      <c r="H7" s="38"/>
      <c r="I7" s="38"/>
    </row>
    <row r="8" spans="2:13" s="24" customFormat="1" ht="16" customHeight="1" x14ac:dyDescent="0.4">
      <c r="B8" s="37" t="s">
        <v>2</v>
      </c>
      <c r="C8" s="37"/>
      <c r="D8" s="23" t="s">
        <v>27</v>
      </c>
      <c r="E8" s="23" t="s">
        <v>15</v>
      </c>
      <c r="F8" s="39">
        <v>771</v>
      </c>
      <c r="G8" s="39"/>
      <c r="H8" s="39"/>
      <c r="I8" s="39"/>
      <c r="J8" s="24">
        <f>+SUM(F4:I8)</f>
        <v>2619</v>
      </c>
    </row>
    <row r="9" spans="2:13" s="24" customFormat="1" ht="16" customHeight="1" x14ac:dyDescent="0.4">
      <c r="B9" s="37" t="s">
        <v>2</v>
      </c>
      <c r="C9" s="37"/>
      <c r="D9" s="23" t="s">
        <v>27</v>
      </c>
      <c r="E9" s="23" t="s">
        <v>16</v>
      </c>
      <c r="F9" s="38">
        <v>1662</v>
      </c>
      <c r="G9" s="38"/>
      <c r="H9" s="38"/>
      <c r="I9" s="38"/>
    </row>
    <row r="10" spans="2:13" s="24" customFormat="1" ht="16" customHeight="1" x14ac:dyDescent="0.4">
      <c r="B10" s="37" t="s">
        <v>2</v>
      </c>
      <c r="C10" s="37"/>
      <c r="D10" s="23" t="s">
        <v>27</v>
      </c>
      <c r="E10" s="23" t="s">
        <v>17</v>
      </c>
      <c r="F10" s="39">
        <v>11</v>
      </c>
      <c r="G10" s="39"/>
      <c r="H10" s="39"/>
      <c r="I10" s="39"/>
      <c r="K10" s="25">
        <f>+SUM(F9:I10)</f>
        <v>1673</v>
      </c>
      <c r="L10" s="25">
        <f>+J8+K10</f>
        <v>4292</v>
      </c>
      <c r="M10" s="26">
        <f>+J8/L10</f>
        <v>0.61020503261882575</v>
      </c>
    </row>
    <row r="11" spans="2:13" ht="16" customHeight="1" x14ac:dyDescent="0.4">
      <c r="B11" s="36" t="s">
        <v>2</v>
      </c>
      <c r="C11" s="36"/>
      <c r="D11" s="1" t="s">
        <v>28</v>
      </c>
      <c r="E11" s="1" t="s">
        <v>11</v>
      </c>
      <c r="F11" s="34">
        <v>18</v>
      </c>
      <c r="G11" s="34"/>
      <c r="H11" s="34"/>
      <c r="I11" s="34"/>
    </row>
    <row r="12" spans="2:13" ht="16" customHeight="1" x14ac:dyDescent="0.4">
      <c r="B12" s="36" t="s">
        <v>2</v>
      </c>
      <c r="C12" s="36"/>
      <c r="D12" s="1" t="s">
        <v>28</v>
      </c>
      <c r="E12" s="1" t="s">
        <v>12</v>
      </c>
      <c r="F12" s="34">
        <v>147</v>
      </c>
      <c r="G12" s="34"/>
      <c r="H12" s="34"/>
      <c r="I12" s="34"/>
    </row>
    <row r="13" spans="2:13" ht="16" customHeight="1" x14ac:dyDescent="0.4">
      <c r="B13" s="36" t="s">
        <v>2</v>
      </c>
      <c r="C13" s="36"/>
      <c r="D13" s="1" t="s">
        <v>28</v>
      </c>
      <c r="E13" s="1" t="s">
        <v>13</v>
      </c>
      <c r="F13" s="34">
        <v>164</v>
      </c>
      <c r="G13" s="34"/>
      <c r="H13" s="34"/>
      <c r="I13" s="34"/>
    </row>
    <row r="14" spans="2:13" ht="16" customHeight="1" x14ac:dyDescent="0.4">
      <c r="B14" s="36" t="s">
        <v>2</v>
      </c>
      <c r="C14" s="36"/>
      <c r="D14" s="1" t="s">
        <v>28</v>
      </c>
      <c r="E14" s="1" t="s">
        <v>14</v>
      </c>
      <c r="F14" s="34">
        <v>606</v>
      </c>
      <c r="G14" s="34"/>
      <c r="H14" s="34"/>
      <c r="I14" s="34"/>
    </row>
    <row r="15" spans="2:13" ht="16" customHeight="1" x14ac:dyDescent="0.4">
      <c r="B15" s="36" t="s">
        <v>2</v>
      </c>
      <c r="C15" s="36"/>
      <c r="D15" s="1" t="s">
        <v>28</v>
      </c>
      <c r="E15" s="1" t="s">
        <v>15</v>
      </c>
      <c r="F15" s="34">
        <v>485</v>
      </c>
      <c r="G15" s="34"/>
      <c r="H15" s="34"/>
      <c r="I15" s="34"/>
      <c r="J15">
        <f>+SUM(F11:I15)</f>
        <v>1420</v>
      </c>
    </row>
    <row r="16" spans="2:13" ht="16" customHeight="1" x14ac:dyDescent="0.4">
      <c r="B16" s="36" t="s">
        <v>2</v>
      </c>
      <c r="C16" s="36"/>
      <c r="D16" s="1" t="s">
        <v>28</v>
      </c>
      <c r="E16" s="1" t="s">
        <v>16</v>
      </c>
      <c r="F16" s="35">
        <v>6990</v>
      </c>
      <c r="G16" s="35"/>
      <c r="H16" s="35"/>
      <c r="I16" s="35"/>
    </row>
    <row r="17" spans="2:13" ht="16" customHeight="1" x14ac:dyDescent="0.4">
      <c r="B17" s="36" t="s">
        <v>2</v>
      </c>
      <c r="C17" s="36"/>
      <c r="D17" s="1" t="s">
        <v>28</v>
      </c>
      <c r="E17" s="1" t="s">
        <v>17</v>
      </c>
      <c r="F17" s="35">
        <v>1673</v>
      </c>
      <c r="G17" s="35"/>
      <c r="H17" s="35"/>
      <c r="I17" s="35"/>
      <c r="K17" s="3">
        <f>+SUM(F16:I17)</f>
        <v>8663</v>
      </c>
      <c r="L17" s="3">
        <f>+J15+K17</f>
        <v>10083</v>
      </c>
      <c r="M17" s="5">
        <f>+J15/L17</f>
        <v>0.14083110185460676</v>
      </c>
    </row>
    <row r="18" spans="2:13" s="24" customFormat="1" ht="16" customHeight="1" x14ac:dyDescent="0.4">
      <c r="B18" s="37" t="s">
        <v>2</v>
      </c>
      <c r="C18" s="37"/>
      <c r="D18" s="23" t="s">
        <v>29</v>
      </c>
      <c r="E18" s="23" t="s">
        <v>12</v>
      </c>
      <c r="F18" s="39">
        <v>124</v>
      </c>
      <c r="G18" s="39"/>
      <c r="H18" s="39"/>
      <c r="I18" s="39"/>
    </row>
    <row r="19" spans="2:13" s="24" customFormat="1" ht="16" customHeight="1" x14ac:dyDescent="0.4">
      <c r="B19" s="37" t="s">
        <v>2</v>
      </c>
      <c r="C19" s="37"/>
      <c r="D19" s="23" t="s">
        <v>29</v>
      </c>
      <c r="E19" s="23" t="s">
        <v>13</v>
      </c>
      <c r="F19" s="39">
        <v>212</v>
      </c>
      <c r="G19" s="39"/>
      <c r="H19" s="39"/>
      <c r="I19" s="39"/>
    </row>
    <row r="20" spans="2:13" s="24" customFormat="1" ht="16" customHeight="1" x14ac:dyDescent="0.4">
      <c r="B20" s="37" t="s">
        <v>2</v>
      </c>
      <c r="C20" s="37"/>
      <c r="D20" s="23" t="s">
        <v>29</v>
      </c>
      <c r="E20" s="23" t="s">
        <v>14</v>
      </c>
      <c r="F20" s="38">
        <v>1112</v>
      </c>
      <c r="G20" s="38"/>
      <c r="H20" s="38"/>
      <c r="I20" s="38"/>
    </row>
    <row r="21" spans="2:13" s="24" customFormat="1" ht="16" customHeight="1" x14ac:dyDescent="0.4">
      <c r="B21" s="37" t="s">
        <v>2</v>
      </c>
      <c r="C21" s="37"/>
      <c r="D21" s="23" t="s">
        <v>29</v>
      </c>
      <c r="E21" s="23" t="s">
        <v>15</v>
      </c>
      <c r="F21" s="38">
        <v>1213</v>
      </c>
      <c r="G21" s="38"/>
      <c r="H21" s="38"/>
      <c r="I21" s="38"/>
      <c r="J21" s="24">
        <f>+SUM(F18:I21)</f>
        <v>2661</v>
      </c>
    </row>
    <row r="22" spans="2:13" s="24" customFormat="1" ht="16" customHeight="1" x14ac:dyDescent="0.4">
      <c r="B22" s="37" t="s">
        <v>2</v>
      </c>
      <c r="C22" s="37"/>
      <c r="D22" s="23" t="s">
        <v>29</v>
      </c>
      <c r="E22" s="23" t="s">
        <v>16</v>
      </c>
      <c r="F22" s="38">
        <v>24112</v>
      </c>
      <c r="G22" s="38"/>
      <c r="H22" s="38"/>
      <c r="I22" s="38"/>
    </row>
    <row r="23" spans="2:13" s="24" customFormat="1" ht="16" customHeight="1" x14ac:dyDescent="0.4">
      <c r="B23" s="37" t="s">
        <v>2</v>
      </c>
      <c r="C23" s="37"/>
      <c r="D23" s="23" t="s">
        <v>29</v>
      </c>
      <c r="E23" s="23" t="s">
        <v>17</v>
      </c>
      <c r="F23" s="38">
        <v>6395</v>
      </c>
      <c r="G23" s="38"/>
      <c r="H23" s="38"/>
      <c r="I23" s="38"/>
      <c r="K23" s="25">
        <f>+SUM(F22:I23)</f>
        <v>30507</v>
      </c>
      <c r="L23" s="25">
        <f>+J21+K23</f>
        <v>33168</v>
      </c>
      <c r="M23" s="26">
        <f>+J21/L23</f>
        <v>8.0227930535455863E-2</v>
      </c>
    </row>
    <row r="24" spans="2:13" ht="16" customHeight="1" x14ac:dyDescent="0.4">
      <c r="B24" s="36" t="s">
        <v>2</v>
      </c>
      <c r="C24" s="36"/>
      <c r="D24" s="1" t="s">
        <v>30</v>
      </c>
      <c r="E24" s="1" t="s">
        <v>12</v>
      </c>
      <c r="F24" s="34">
        <v>101</v>
      </c>
      <c r="G24" s="34"/>
      <c r="H24" s="34"/>
      <c r="I24" s="34"/>
    </row>
    <row r="25" spans="2:13" ht="16" customHeight="1" x14ac:dyDescent="0.4">
      <c r="B25" s="36" t="s">
        <v>2</v>
      </c>
      <c r="C25" s="36"/>
      <c r="D25" s="1" t="s">
        <v>30</v>
      </c>
      <c r="E25" s="1" t="s">
        <v>13</v>
      </c>
      <c r="F25" s="34">
        <v>125</v>
      </c>
      <c r="G25" s="34"/>
      <c r="H25" s="34"/>
      <c r="I25" s="34"/>
    </row>
    <row r="26" spans="2:13" ht="16" customHeight="1" x14ac:dyDescent="0.4">
      <c r="B26" s="36" t="s">
        <v>2</v>
      </c>
      <c r="C26" s="36"/>
      <c r="D26" s="1" t="s">
        <v>30</v>
      </c>
      <c r="E26" s="1" t="s">
        <v>14</v>
      </c>
      <c r="F26" s="34">
        <v>983</v>
      </c>
      <c r="G26" s="34"/>
      <c r="H26" s="34"/>
      <c r="I26" s="34"/>
    </row>
    <row r="27" spans="2:13" ht="16" customHeight="1" x14ac:dyDescent="0.4">
      <c r="B27" s="36" t="s">
        <v>2</v>
      </c>
      <c r="C27" s="36"/>
      <c r="D27" s="1" t="s">
        <v>30</v>
      </c>
      <c r="E27" s="1" t="s">
        <v>15</v>
      </c>
      <c r="F27" s="35">
        <v>1118</v>
      </c>
      <c r="G27" s="35"/>
      <c r="H27" s="35"/>
      <c r="I27" s="35"/>
      <c r="J27">
        <f>+SUM(F24:I27)</f>
        <v>2327</v>
      </c>
    </row>
    <row r="28" spans="2:13" ht="16" customHeight="1" x14ac:dyDescent="0.4">
      <c r="B28" s="36" t="s">
        <v>2</v>
      </c>
      <c r="C28" s="36"/>
      <c r="D28" s="1" t="s">
        <v>30</v>
      </c>
      <c r="E28" s="1" t="s">
        <v>16</v>
      </c>
      <c r="F28" s="35">
        <v>25646</v>
      </c>
      <c r="G28" s="35"/>
      <c r="H28" s="35"/>
      <c r="I28" s="35"/>
    </row>
    <row r="29" spans="2:13" ht="16" customHeight="1" x14ac:dyDescent="0.4">
      <c r="B29" s="36" t="s">
        <v>2</v>
      </c>
      <c r="C29" s="36"/>
      <c r="D29" s="1" t="s">
        <v>30</v>
      </c>
      <c r="E29" s="1" t="s">
        <v>17</v>
      </c>
      <c r="F29" s="35">
        <v>6968</v>
      </c>
      <c r="G29" s="35"/>
      <c r="H29" s="35"/>
      <c r="I29" s="35"/>
      <c r="K29" s="3">
        <f>+SUM(F28:I29)</f>
        <v>32614</v>
      </c>
      <c r="L29" s="3">
        <f>+J27+K29</f>
        <v>34941</v>
      </c>
      <c r="M29" s="5">
        <f>+J27/L29</f>
        <v>6.6597979451074665E-2</v>
      </c>
    </row>
    <row r="30" spans="2:13" s="24" customFormat="1" ht="16" customHeight="1" x14ac:dyDescent="0.4">
      <c r="B30" s="37" t="s">
        <v>2</v>
      </c>
      <c r="C30" s="37"/>
      <c r="D30" s="23" t="s">
        <v>31</v>
      </c>
      <c r="E30" s="23" t="s">
        <v>12</v>
      </c>
      <c r="F30" s="39">
        <v>129</v>
      </c>
      <c r="G30" s="39"/>
      <c r="H30" s="39"/>
      <c r="I30" s="39"/>
    </row>
    <row r="31" spans="2:13" s="24" customFormat="1" ht="16" customHeight="1" x14ac:dyDescent="0.4">
      <c r="B31" s="37" t="s">
        <v>2</v>
      </c>
      <c r="C31" s="37"/>
      <c r="D31" s="23" t="s">
        <v>31</v>
      </c>
      <c r="E31" s="23" t="s">
        <v>13</v>
      </c>
      <c r="F31" s="39">
        <v>208</v>
      </c>
      <c r="G31" s="39"/>
      <c r="H31" s="39"/>
      <c r="I31" s="39"/>
    </row>
    <row r="32" spans="2:13" s="24" customFormat="1" ht="16" customHeight="1" x14ac:dyDescent="0.4">
      <c r="B32" s="37" t="s">
        <v>2</v>
      </c>
      <c r="C32" s="37"/>
      <c r="D32" s="23" t="s">
        <v>31</v>
      </c>
      <c r="E32" s="23" t="s">
        <v>14</v>
      </c>
      <c r="F32" s="38">
        <v>1273</v>
      </c>
      <c r="G32" s="38"/>
      <c r="H32" s="38"/>
      <c r="I32" s="38"/>
    </row>
    <row r="33" spans="2:13" s="24" customFormat="1" ht="16" customHeight="1" x14ac:dyDescent="0.4">
      <c r="B33" s="37" t="s">
        <v>2</v>
      </c>
      <c r="C33" s="37"/>
      <c r="D33" s="23" t="s">
        <v>31</v>
      </c>
      <c r="E33" s="23" t="s">
        <v>15</v>
      </c>
      <c r="F33" s="38">
        <v>1448</v>
      </c>
      <c r="G33" s="38"/>
      <c r="H33" s="38"/>
      <c r="I33" s="38"/>
      <c r="J33" s="24">
        <f>+SUM(F30:I33)</f>
        <v>3058</v>
      </c>
    </row>
    <row r="34" spans="2:13" s="24" customFormat="1" ht="16" customHeight="1" x14ac:dyDescent="0.4">
      <c r="B34" s="37" t="s">
        <v>2</v>
      </c>
      <c r="C34" s="37"/>
      <c r="D34" s="23" t="s">
        <v>31</v>
      </c>
      <c r="E34" s="23" t="s">
        <v>16</v>
      </c>
      <c r="F34" s="38">
        <v>38321</v>
      </c>
      <c r="G34" s="38"/>
      <c r="H34" s="38"/>
      <c r="I34" s="38"/>
    </row>
    <row r="35" spans="2:13" s="24" customFormat="1" ht="16" customHeight="1" x14ac:dyDescent="0.4">
      <c r="B35" s="37" t="s">
        <v>2</v>
      </c>
      <c r="C35" s="37"/>
      <c r="D35" s="23" t="s">
        <v>31</v>
      </c>
      <c r="E35" s="23" t="s">
        <v>17</v>
      </c>
      <c r="F35" s="38">
        <v>10425</v>
      </c>
      <c r="G35" s="38"/>
      <c r="H35" s="38"/>
      <c r="I35" s="38"/>
      <c r="K35" s="25">
        <f>+SUM(F34:I35)</f>
        <v>48746</v>
      </c>
      <c r="L35" s="25">
        <f>+J33+K35</f>
        <v>51804</v>
      </c>
      <c r="M35" s="26">
        <f>+J33/L35</f>
        <v>5.903019071886341E-2</v>
      </c>
    </row>
    <row r="36" spans="2:13" ht="16" customHeight="1" x14ac:dyDescent="0.4">
      <c r="B36" s="36" t="s">
        <v>2</v>
      </c>
      <c r="C36" s="36"/>
      <c r="D36" s="1" t="s">
        <v>32</v>
      </c>
      <c r="E36" s="1" t="s">
        <v>12</v>
      </c>
      <c r="F36" s="34">
        <v>101</v>
      </c>
      <c r="G36" s="34"/>
      <c r="H36" s="34"/>
      <c r="I36" s="34"/>
    </row>
    <row r="37" spans="2:13" ht="16" customHeight="1" x14ac:dyDescent="0.4">
      <c r="B37" s="36" t="s">
        <v>2</v>
      </c>
      <c r="C37" s="36"/>
      <c r="D37" s="1" t="s">
        <v>32</v>
      </c>
      <c r="E37" s="1" t="s">
        <v>13</v>
      </c>
      <c r="F37" s="34">
        <v>119</v>
      </c>
      <c r="G37" s="34"/>
      <c r="H37" s="34"/>
      <c r="I37" s="34"/>
    </row>
    <row r="38" spans="2:13" ht="16" customHeight="1" x14ac:dyDescent="0.4">
      <c r="B38" s="36" t="s">
        <v>2</v>
      </c>
      <c r="C38" s="36"/>
      <c r="D38" s="1" t="s">
        <v>32</v>
      </c>
      <c r="E38" s="1" t="s">
        <v>14</v>
      </c>
      <c r="F38" s="34">
        <v>818</v>
      </c>
      <c r="G38" s="34"/>
      <c r="H38" s="34"/>
      <c r="I38" s="34"/>
    </row>
    <row r="39" spans="2:13" ht="16" customHeight="1" x14ac:dyDescent="0.4">
      <c r="B39" s="36" t="s">
        <v>2</v>
      </c>
      <c r="C39" s="36"/>
      <c r="D39" s="1" t="s">
        <v>32</v>
      </c>
      <c r="E39" s="1" t="s">
        <v>15</v>
      </c>
      <c r="F39" s="34">
        <v>939</v>
      </c>
      <c r="G39" s="34"/>
      <c r="H39" s="34"/>
      <c r="I39" s="34"/>
      <c r="J39">
        <f>+SUM(F36:I39)</f>
        <v>1977</v>
      </c>
    </row>
    <row r="40" spans="2:13" ht="16" customHeight="1" x14ac:dyDescent="0.4">
      <c r="B40" s="36" t="s">
        <v>2</v>
      </c>
      <c r="C40" s="36"/>
      <c r="D40" s="1" t="s">
        <v>32</v>
      </c>
      <c r="E40" s="1" t="s">
        <v>16</v>
      </c>
      <c r="F40" s="35">
        <v>23343</v>
      </c>
      <c r="G40" s="35"/>
      <c r="H40" s="35"/>
      <c r="I40" s="35"/>
    </row>
    <row r="41" spans="2:13" ht="16" customHeight="1" x14ac:dyDescent="0.4">
      <c r="B41" s="36" t="s">
        <v>2</v>
      </c>
      <c r="C41" s="36"/>
      <c r="D41" s="1" t="s">
        <v>32</v>
      </c>
      <c r="E41" s="1" t="s">
        <v>17</v>
      </c>
      <c r="F41" s="35">
        <v>6246</v>
      </c>
      <c r="G41" s="35"/>
      <c r="H41" s="35"/>
      <c r="I41" s="35"/>
      <c r="K41" s="3">
        <f>+SUM(F40:I41)</f>
        <v>29589</v>
      </c>
      <c r="L41" s="3">
        <f>+J39+K41</f>
        <v>31566</v>
      </c>
      <c r="M41" s="5">
        <f>+J39/L41</f>
        <v>6.2630678578217067E-2</v>
      </c>
    </row>
    <row r="42" spans="2:13" s="24" customFormat="1" ht="16" customHeight="1" x14ac:dyDescent="0.4">
      <c r="B42" s="37" t="s">
        <v>2</v>
      </c>
      <c r="C42" s="37"/>
      <c r="D42" s="23" t="s">
        <v>33</v>
      </c>
      <c r="E42" s="23" t="s">
        <v>12</v>
      </c>
      <c r="F42" s="39">
        <v>62</v>
      </c>
      <c r="G42" s="39"/>
      <c r="H42" s="39"/>
      <c r="I42" s="39"/>
    </row>
    <row r="43" spans="2:13" s="24" customFormat="1" ht="16" customHeight="1" x14ac:dyDescent="0.4">
      <c r="B43" s="37" t="s">
        <v>2</v>
      </c>
      <c r="C43" s="37"/>
      <c r="D43" s="23" t="s">
        <v>33</v>
      </c>
      <c r="E43" s="23" t="s">
        <v>13</v>
      </c>
      <c r="F43" s="39">
        <v>103</v>
      </c>
      <c r="G43" s="39"/>
      <c r="H43" s="39"/>
      <c r="I43" s="39"/>
    </row>
    <row r="44" spans="2:13" s="24" customFormat="1" ht="16" customHeight="1" x14ac:dyDescent="0.4">
      <c r="B44" s="37" t="s">
        <v>2</v>
      </c>
      <c r="C44" s="37"/>
      <c r="D44" s="23" t="s">
        <v>33</v>
      </c>
      <c r="E44" s="23" t="s">
        <v>14</v>
      </c>
      <c r="F44" s="39">
        <v>599</v>
      </c>
      <c r="G44" s="39"/>
      <c r="H44" s="39"/>
      <c r="I44" s="39"/>
    </row>
    <row r="45" spans="2:13" s="24" customFormat="1" ht="16" customHeight="1" x14ac:dyDescent="0.4">
      <c r="B45" s="37" t="s">
        <v>2</v>
      </c>
      <c r="C45" s="37"/>
      <c r="D45" s="23" t="s">
        <v>33</v>
      </c>
      <c r="E45" s="23" t="s">
        <v>15</v>
      </c>
      <c r="F45" s="39">
        <v>688</v>
      </c>
      <c r="G45" s="39"/>
      <c r="H45" s="39"/>
      <c r="I45" s="39"/>
      <c r="J45" s="24">
        <f>+SUM(F42:I45)</f>
        <v>1452</v>
      </c>
    </row>
    <row r="46" spans="2:13" s="24" customFormat="1" ht="16" customHeight="1" x14ac:dyDescent="0.4">
      <c r="B46" s="37" t="s">
        <v>2</v>
      </c>
      <c r="C46" s="37"/>
      <c r="D46" s="23" t="s">
        <v>33</v>
      </c>
      <c r="E46" s="23" t="s">
        <v>16</v>
      </c>
      <c r="F46" s="38">
        <v>15234</v>
      </c>
      <c r="G46" s="38"/>
      <c r="H46" s="38"/>
      <c r="I46" s="38"/>
    </row>
    <row r="47" spans="2:13" s="24" customFormat="1" ht="16" customHeight="1" x14ac:dyDescent="0.4">
      <c r="B47" s="37" t="s">
        <v>2</v>
      </c>
      <c r="C47" s="37"/>
      <c r="D47" s="23" t="s">
        <v>33</v>
      </c>
      <c r="E47" s="23" t="s">
        <v>17</v>
      </c>
      <c r="F47" s="38">
        <v>4067</v>
      </c>
      <c r="G47" s="38"/>
      <c r="H47" s="38"/>
      <c r="I47" s="38"/>
      <c r="K47" s="25">
        <f>+SUM(F46:I47)</f>
        <v>19301</v>
      </c>
      <c r="L47" s="25">
        <f>+J45+K47</f>
        <v>20753</v>
      </c>
      <c r="M47" s="26">
        <f>+J45/L47</f>
        <v>6.996578807883197E-2</v>
      </c>
    </row>
    <row r="48" spans="2:13" ht="16" customHeight="1" x14ac:dyDescent="0.4">
      <c r="B48" s="36" t="s">
        <v>2</v>
      </c>
      <c r="C48" s="36"/>
      <c r="D48" s="1" t="s">
        <v>34</v>
      </c>
      <c r="E48" s="1" t="s">
        <v>12</v>
      </c>
      <c r="F48" s="34">
        <v>39</v>
      </c>
      <c r="G48" s="34"/>
      <c r="H48" s="34"/>
      <c r="I48" s="34"/>
    </row>
    <row r="49" spans="2:13" ht="16" customHeight="1" x14ac:dyDescent="0.4">
      <c r="B49" s="36" t="s">
        <v>2</v>
      </c>
      <c r="C49" s="36"/>
      <c r="D49" s="1" t="s">
        <v>34</v>
      </c>
      <c r="E49" s="1" t="s">
        <v>13</v>
      </c>
      <c r="F49" s="34">
        <v>68</v>
      </c>
      <c r="G49" s="34"/>
      <c r="H49" s="34"/>
      <c r="I49" s="34"/>
    </row>
    <row r="50" spans="2:13" ht="16" customHeight="1" x14ac:dyDescent="0.4">
      <c r="B50" s="36" t="s">
        <v>2</v>
      </c>
      <c r="C50" s="36"/>
      <c r="D50" s="1" t="s">
        <v>34</v>
      </c>
      <c r="E50" s="1" t="s">
        <v>14</v>
      </c>
      <c r="F50" s="34">
        <v>387</v>
      </c>
      <c r="G50" s="34"/>
      <c r="H50" s="34"/>
      <c r="I50" s="34"/>
    </row>
    <row r="51" spans="2:13" ht="16" customHeight="1" x14ac:dyDescent="0.4">
      <c r="B51" s="36" t="s">
        <v>2</v>
      </c>
      <c r="C51" s="36"/>
      <c r="D51" s="1" t="s">
        <v>34</v>
      </c>
      <c r="E51" s="1" t="s">
        <v>15</v>
      </c>
      <c r="F51" s="34">
        <v>370</v>
      </c>
      <c r="G51" s="34"/>
      <c r="H51" s="34"/>
      <c r="I51" s="34"/>
      <c r="J51">
        <f>+SUM(F48:I51)</f>
        <v>864</v>
      </c>
    </row>
    <row r="52" spans="2:13" ht="16" customHeight="1" x14ac:dyDescent="0.4">
      <c r="B52" s="36" t="s">
        <v>2</v>
      </c>
      <c r="C52" s="36"/>
      <c r="D52" s="1" t="s">
        <v>34</v>
      </c>
      <c r="E52" s="1" t="s">
        <v>16</v>
      </c>
      <c r="F52" s="35">
        <v>9108</v>
      </c>
      <c r="G52" s="35"/>
      <c r="H52" s="35"/>
      <c r="I52" s="35"/>
    </row>
    <row r="53" spans="2:13" ht="16" customHeight="1" x14ac:dyDescent="0.4">
      <c r="B53" s="36" t="s">
        <v>2</v>
      </c>
      <c r="C53" s="36"/>
      <c r="D53" s="1" t="s">
        <v>34</v>
      </c>
      <c r="E53" s="1" t="s">
        <v>17</v>
      </c>
      <c r="F53" s="35">
        <v>2407</v>
      </c>
      <c r="G53" s="35"/>
      <c r="H53" s="35"/>
      <c r="I53" s="35"/>
      <c r="K53" s="3">
        <f>+SUM(F52:I53)</f>
        <v>11515</v>
      </c>
      <c r="L53" s="3">
        <f>+J51+K53</f>
        <v>12379</v>
      </c>
      <c r="M53" s="5">
        <f>+J51/L53</f>
        <v>6.9795621617255027E-2</v>
      </c>
    </row>
    <row r="54" spans="2:13" s="24" customFormat="1" ht="16" customHeight="1" x14ac:dyDescent="0.4">
      <c r="B54" s="37" t="s">
        <v>2</v>
      </c>
      <c r="C54" s="37"/>
      <c r="D54" s="23" t="s">
        <v>35</v>
      </c>
      <c r="E54" s="23" t="s">
        <v>12</v>
      </c>
      <c r="F54" s="39">
        <v>69</v>
      </c>
      <c r="G54" s="39"/>
      <c r="H54" s="39"/>
      <c r="I54" s="39"/>
    </row>
    <row r="55" spans="2:13" s="24" customFormat="1" ht="16" customHeight="1" x14ac:dyDescent="0.4">
      <c r="B55" s="37" t="s">
        <v>2</v>
      </c>
      <c r="C55" s="37"/>
      <c r="D55" s="23" t="s">
        <v>35</v>
      </c>
      <c r="E55" s="23" t="s">
        <v>13</v>
      </c>
      <c r="F55" s="39">
        <v>104</v>
      </c>
      <c r="G55" s="39"/>
      <c r="H55" s="39"/>
      <c r="I55" s="39"/>
    </row>
    <row r="56" spans="2:13" s="24" customFormat="1" ht="16" customHeight="1" x14ac:dyDescent="0.4">
      <c r="B56" s="37" t="s">
        <v>2</v>
      </c>
      <c r="C56" s="37"/>
      <c r="D56" s="23" t="s">
        <v>35</v>
      </c>
      <c r="E56" s="23" t="s">
        <v>14</v>
      </c>
      <c r="F56" s="39">
        <v>641</v>
      </c>
      <c r="G56" s="39"/>
      <c r="H56" s="39"/>
      <c r="I56" s="39"/>
    </row>
    <row r="57" spans="2:13" s="24" customFormat="1" ht="16" customHeight="1" x14ac:dyDescent="0.4">
      <c r="B57" s="37" t="s">
        <v>2</v>
      </c>
      <c r="C57" s="37"/>
      <c r="D57" s="23" t="s">
        <v>35</v>
      </c>
      <c r="E57" s="23" t="s">
        <v>15</v>
      </c>
      <c r="F57" s="39">
        <v>626</v>
      </c>
      <c r="G57" s="39"/>
      <c r="H57" s="39"/>
      <c r="I57" s="39"/>
      <c r="J57" s="24">
        <f>+SUM(F54:I57)</f>
        <v>1440</v>
      </c>
    </row>
    <row r="58" spans="2:13" s="24" customFormat="1" ht="16" customHeight="1" x14ac:dyDescent="0.4">
      <c r="B58" s="37" t="s">
        <v>2</v>
      </c>
      <c r="C58" s="37"/>
      <c r="D58" s="23" t="s">
        <v>35</v>
      </c>
      <c r="E58" s="23" t="s">
        <v>16</v>
      </c>
      <c r="F58" s="38">
        <v>12981</v>
      </c>
      <c r="G58" s="38"/>
      <c r="H58" s="38"/>
      <c r="I58" s="38"/>
    </row>
    <row r="59" spans="2:13" s="24" customFormat="1" ht="16" customHeight="1" x14ac:dyDescent="0.4">
      <c r="B59" s="37" t="s">
        <v>2</v>
      </c>
      <c r="C59" s="37"/>
      <c r="D59" s="23" t="s">
        <v>35</v>
      </c>
      <c r="E59" s="23" t="s">
        <v>17</v>
      </c>
      <c r="F59" s="38">
        <v>3344</v>
      </c>
      <c r="G59" s="38"/>
      <c r="H59" s="38"/>
      <c r="I59" s="38"/>
      <c r="K59" s="25">
        <f>+SUM(F58:I59)</f>
        <v>16325</v>
      </c>
      <c r="L59" s="25">
        <f>+J57+K59</f>
        <v>17765</v>
      </c>
      <c r="M59" s="26">
        <f>+J57/L59</f>
        <v>8.1058260624824088E-2</v>
      </c>
    </row>
    <row r="60" spans="2:13" ht="16" customHeight="1" x14ac:dyDescent="0.4">
      <c r="B60" s="36" t="s">
        <v>2</v>
      </c>
      <c r="C60" s="36"/>
      <c r="D60" s="1" t="s">
        <v>36</v>
      </c>
      <c r="E60" s="1" t="s">
        <v>11</v>
      </c>
      <c r="F60" s="34">
        <v>79</v>
      </c>
      <c r="G60" s="34"/>
      <c r="H60" s="34"/>
      <c r="I60" s="34"/>
    </row>
    <row r="61" spans="2:13" ht="16" customHeight="1" x14ac:dyDescent="0.4">
      <c r="B61" s="36" t="s">
        <v>2</v>
      </c>
      <c r="C61" s="36"/>
      <c r="D61" s="1" t="s">
        <v>36</v>
      </c>
      <c r="E61" s="1" t="s">
        <v>12</v>
      </c>
      <c r="F61" s="35">
        <v>1132</v>
      </c>
      <c r="G61" s="35"/>
      <c r="H61" s="35"/>
      <c r="I61" s="35"/>
    </row>
    <row r="62" spans="2:13" ht="16" customHeight="1" x14ac:dyDescent="0.4">
      <c r="B62" s="36" t="s">
        <v>2</v>
      </c>
      <c r="C62" s="36"/>
      <c r="D62" s="1" t="s">
        <v>36</v>
      </c>
      <c r="E62" s="1" t="s">
        <v>13</v>
      </c>
      <c r="F62" s="35">
        <v>1611</v>
      </c>
      <c r="G62" s="35"/>
      <c r="H62" s="35"/>
      <c r="I62" s="35"/>
    </row>
    <row r="63" spans="2:13" ht="16" customHeight="1" x14ac:dyDescent="0.4">
      <c r="B63" s="36" t="s">
        <v>2</v>
      </c>
      <c r="C63" s="36"/>
      <c r="D63" s="1" t="s">
        <v>36</v>
      </c>
      <c r="E63" s="1" t="s">
        <v>14</v>
      </c>
      <c r="F63" s="35">
        <v>8740</v>
      </c>
      <c r="G63" s="35"/>
      <c r="H63" s="35"/>
      <c r="I63" s="35"/>
    </row>
    <row r="64" spans="2:13" ht="16" customHeight="1" x14ac:dyDescent="0.4">
      <c r="B64" s="36" t="s">
        <v>2</v>
      </c>
      <c r="C64" s="36"/>
      <c r="D64" s="1" t="s">
        <v>36</v>
      </c>
      <c r="E64" s="1" t="s">
        <v>15</v>
      </c>
      <c r="F64" s="35">
        <v>8903</v>
      </c>
      <c r="G64" s="35"/>
      <c r="H64" s="35"/>
      <c r="I64" s="35"/>
      <c r="J64">
        <f>+SUM(F60:I64)</f>
        <v>20465</v>
      </c>
    </row>
    <row r="65" spans="2:13" ht="16" customHeight="1" x14ac:dyDescent="0.4">
      <c r="B65" s="36" t="s">
        <v>2</v>
      </c>
      <c r="C65" s="36"/>
      <c r="D65" s="1" t="s">
        <v>36</v>
      </c>
      <c r="E65" s="1" t="s">
        <v>16</v>
      </c>
      <c r="F65" s="35">
        <v>178312</v>
      </c>
      <c r="G65" s="35"/>
      <c r="H65" s="35"/>
      <c r="I65" s="35"/>
    </row>
    <row r="66" spans="2:13" ht="16" customHeight="1" x14ac:dyDescent="0.4">
      <c r="B66" s="36" t="s">
        <v>2</v>
      </c>
      <c r="C66" s="36"/>
      <c r="D66" s="1" t="s">
        <v>36</v>
      </c>
      <c r="E66" s="1" t="s">
        <v>17</v>
      </c>
      <c r="F66" s="35">
        <v>71284</v>
      </c>
      <c r="G66" s="35"/>
      <c r="H66" s="35"/>
      <c r="I66" s="35"/>
      <c r="K66" s="3">
        <f>+SUM(F65:I66)</f>
        <v>249596</v>
      </c>
      <c r="L66" s="3">
        <f>+J64+K66</f>
        <v>270061</v>
      </c>
      <c r="M66" s="5">
        <f>+J64/L66</f>
        <v>7.5779175815834196E-2</v>
      </c>
    </row>
    <row r="67" spans="2:13" s="24" customFormat="1" ht="16" customHeight="1" x14ac:dyDescent="0.4">
      <c r="B67" s="37" t="s">
        <v>6</v>
      </c>
      <c r="C67" s="37"/>
      <c r="D67" s="23" t="s">
        <v>27</v>
      </c>
      <c r="E67" s="23" t="s">
        <v>11</v>
      </c>
      <c r="F67" s="39">
        <v>155</v>
      </c>
      <c r="G67" s="39"/>
      <c r="H67" s="39"/>
      <c r="I67" s="39"/>
    </row>
    <row r="68" spans="2:13" s="24" customFormat="1" ht="16" customHeight="1" x14ac:dyDescent="0.4">
      <c r="B68" s="37" t="s">
        <v>6</v>
      </c>
      <c r="C68" s="37"/>
      <c r="D68" s="23" t="s">
        <v>27</v>
      </c>
      <c r="E68" s="23" t="s">
        <v>12</v>
      </c>
      <c r="F68" s="38">
        <v>2020</v>
      </c>
      <c r="G68" s="38"/>
      <c r="H68" s="38"/>
      <c r="I68" s="38"/>
    </row>
    <row r="69" spans="2:13" s="24" customFormat="1" ht="16" customHeight="1" x14ac:dyDescent="0.4">
      <c r="B69" s="37" t="s">
        <v>6</v>
      </c>
      <c r="C69" s="37"/>
      <c r="D69" s="23" t="s">
        <v>27</v>
      </c>
      <c r="E69" s="23" t="s">
        <v>13</v>
      </c>
      <c r="F69" s="38">
        <v>2527</v>
      </c>
      <c r="G69" s="38"/>
      <c r="H69" s="38"/>
      <c r="I69" s="38"/>
    </row>
    <row r="70" spans="2:13" s="24" customFormat="1" ht="16" customHeight="1" x14ac:dyDescent="0.4">
      <c r="B70" s="37" t="s">
        <v>6</v>
      </c>
      <c r="C70" s="37"/>
      <c r="D70" s="23" t="s">
        <v>27</v>
      </c>
      <c r="E70" s="23" t="s">
        <v>14</v>
      </c>
      <c r="F70" s="38">
        <v>9815</v>
      </c>
      <c r="G70" s="38"/>
      <c r="H70" s="38"/>
      <c r="I70" s="38"/>
    </row>
    <row r="71" spans="2:13" s="24" customFormat="1" ht="16" customHeight="1" x14ac:dyDescent="0.4">
      <c r="B71" s="37" t="s">
        <v>6</v>
      </c>
      <c r="C71" s="37"/>
      <c r="D71" s="23" t="s">
        <v>27</v>
      </c>
      <c r="E71" s="23" t="s">
        <v>15</v>
      </c>
      <c r="F71" s="38">
        <v>5244</v>
      </c>
      <c r="G71" s="38"/>
      <c r="H71" s="38"/>
      <c r="I71" s="38"/>
      <c r="J71" s="24">
        <f>+SUM(F67:I71)</f>
        <v>19761</v>
      </c>
    </row>
    <row r="72" spans="2:13" s="24" customFormat="1" ht="16" customHeight="1" x14ac:dyDescent="0.4">
      <c r="B72" s="37" t="s">
        <v>6</v>
      </c>
      <c r="C72" s="37"/>
      <c r="D72" s="23" t="s">
        <v>27</v>
      </c>
      <c r="E72" s="23" t="s">
        <v>16</v>
      </c>
      <c r="F72" s="38">
        <v>10157</v>
      </c>
      <c r="G72" s="38"/>
      <c r="H72" s="38"/>
      <c r="I72" s="38"/>
    </row>
    <row r="73" spans="2:13" s="24" customFormat="1" ht="16" customHeight="1" x14ac:dyDescent="0.4">
      <c r="B73" s="37" t="s">
        <v>6</v>
      </c>
      <c r="C73" s="37"/>
      <c r="D73" s="23" t="s">
        <v>27</v>
      </c>
      <c r="E73" s="23" t="s">
        <v>17</v>
      </c>
      <c r="F73" s="39">
        <v>69</v>
      </c>
      <c r="G73" s="39"/>
      <c r="H73" s="39"/>
      <c r="I73" s="39"/>
      <c r="K73" s="25">
        <f>+SUM(F72:I73)</f>
        <v>10226</v>
      </c>
      <c r="L73" s="25">
        <f>+J71+K73</f>
        <v>29987</v>
      </c>
      <c r="M73" s="26">
        <f>+J71/L73</f>
        <v>0.65898556040951084</v>
      </c>
    </row>
    <row r="74" spans="2:13" ht="16" customHeight="1" x14ac:dyDescent="0.4">
      <c r="B74" s="36" t="s">
        <v>6</v>
      </c>
      <c r="C74" s="36"/>
      <c r="D74" s="1" t="s">
        <v>28</v>
      </c>
      <c r="E74" s="1" t="s">
        <v>11</v>
      </c>
      <c r="F74" s="34">
        <v>274</v>
      </c>
      <c r="G74" s="34"/>
      <c r="H74" s="34"/>
      <c r="I74" s="34"/>
    </row>
    <row r="75" spans="2:13" ht="16" customHeight="1" x14ac:dyDescent="0.4">
      <c r="B75" s="36" t="s">
        <v>6</v>
      </c>
      <c r="C75" s="36"/>
      <c r="D75" s="1" t="s">
        <v>28</v>
      </c>
      <c r="E75" s="1" t="s">
        <v>12</v>
      </c>
      <c r="F75" s="35">
        <v>2799</v>
      </c>
      <c r="G75" s="35"/>
      <c r="H75" s="35"/>
      <c r="I75" s="35"/>
    </row>
    <row r="76" spans="2:13" ht="16" customHeight="1" x14ac:dyDescent="0.4">
      <c r="B76" s="36" t="s">
        <v>6</v>
      </c>
      <c r="C76" s="36"/>
      <c r="D76" s="1" t="s">
        <v>28</v>
      </c>
      <c r="E76" s="1" t="s">
        <v>13</v>
      </c>
      <c r="F76" s="35">
        <v>2527</v>
      </c>
      <c r="G76" s="35"/>
      <c r="H76" s="35"/>
      <c r="I76" s="35"/>
    </row>
    <row r="77" spans="2:13" ht="16" customHeight="1" x14ac:dyDescent="0.4">
      <c r="B77" s="36" t="s">
        <v>6</v>
      </c>
      <c r="C77" s="36"/>
      <c r="D77" s="1" t="s">
        <v>28</v>
      </c>
      <c r="E77" s="1" t="s">
        <v>14</v>
      </c>
      <c r="F77" s="35">
        <v>7709</v>
      </c>
      <c r="G77" s="35"/>
      <c r="H77" s="35"/>
      <c r="I77" s="35"/>
    </row>
    <row r="78" spans="2:13" ht="16" customHeight="1" x14ac:dyDescent="0.4">
      <c r="B78" s="36" t="s">
        <v>6</v>
      </c>
      <c r="C78" s="36"/>
      <c r="D78" s="1" t="s">
        <v>28</v>
      </c>
      <c r="E78" s="1" t="s">
        <v>15</v>
      </c>
      <c r="F78" s="35">
        <v>5454</v>
      </c>
      <c r="G78" s="35"/>
      <c r="H78" s="35"/>
      <c r="I78" s="35"/>
      <c r="J78">
        <f>+SUM(F74:I78)</f>
        <v>18763</v>
      </c>
    </row>
    <row r="79" spans="2:13" ht="16" customHeight="1" x14ac:dyDescent="0.4">
      <c r="B79" s="36" t="s">
        <v>6</v>
      </c>
      <c r="C79" s="36"/>
      <c r="D79" s="1" t="s">
        <v>28</v>
      </c>
      <c r="E79" s="1" t="s">
        <v>16</v>
      </c>
      <c r="F79" s="35">
        <v>51927</v>
      </c>
      <c r="G79" s="35"/>
      <c r="H79" s="35"/>
      <c r="I79" s="35"/>
    </row>
    <row r="80" spans="2:13" ht="16" customHeight="1" x14ac:dyDescent="0.4">
      <c r="B80" s="36" t="s">
        <v>6</v>
      </c>
      <c r="C80" s="36"/>
      <c r="D80" s="1" t="s">
        <v>28</v>
      </c>
      <c r="E80" s="1" t="s">
        <v>17</v>
      </c>
      <c r="F80" s="35">
        <v>9259</v>
      </c>
      <c r="G80" s="35"/>
      <c r="H80" s="35"/>
      <c r="I80" s="35"/>
      <c r="K80" s="3">
        <f>+SUM(F79:I80)</f>
        <v>61186</v>
      </c>
      <c r="L80" s="3">
        <f>+J78+K80</f>
        <v>79949</v>
      </c>
      <c r="M80" s="5">
        <f>+J78/L80</f>
        <v>0.23468711303455952</v>
      </c>
    </row>
    <row r="81" spans="2:13" s="24" customFormat="1" ht="16" customHeight="1" x14ac:dyDescent="0.4">
      <c r="B81" s="37" t="s">
        <v>6</v>
      </c>
      <c r="C81" s="37"/>
      <c r="D81" s="23" t="s">
        <v>29</v>
      </c>
      <c r="E81" s="23" t="s">
        <v>11</v>
      </c>
      <c r="F81" s="39">
        <v>112</v>
      </c>
      <c r="G81" s="39"/>
      <c r="H81" s="39"/>
      <c r="I81" s="39"/>
    </row>
    <row r="82" spans="2:13" s="24" customFormat="1" ht="16" customHeight="1" x14ac:dyDescent="0.4">
      <c r="B82" s="37" t="s">
        <v>6</v>
      </c>
      <c r="C82" s="37"/>
      <c r="D82" s="23" t="s">
        <v>29</v>
      </c>
      <c r="E82" s="23" t="s">
        <v>12</v>
      </c>
      <c r="F82" s="38">
        <v>2132</v>
      </c>
      <c r="G82" s="38"/>
      <c r="H82" s="38"/>
      <c r="I82" s="38"/>
    </row>
    <row r="83" spans="2:13" s="24" customFormat="1" ht="16" customHeight="1" x14ac:dyDescent="0.4">
      <c r="B83" s="37" t="s">
        <v>6</v>
      </c>
      <c r="C83" s="37"/>
      <c r="D83" s="23" t="s">
        <v>29</v>
      </c>
      <c r="E83" s="23" t="s">
        <v>13</v>
      </c>
      <c r="F83" s="38">
        <v>2763</v>
      </c>
      <c r="G83" s="38"/>
      <c r="H83" s="38"/>
      <c r="I83" s="38"/>
    </row>
    <row r="84" spans="2:13" s="24" customFormat="1" ht="16" customHeight="1" x14ac:dyDescent="0.4">
      <c r="B84" s="37" t="s">
        <v>6</v>
      </c>
      <c r="C84" s="37"/>
      <c r="D84" s="23" t="s">
        <v>29</v>
      </c>
      <c r="E84" s="23" t="s">
        <v>14</v>
      </c>
      <c r="F84" s="38">
        <v>13062</v>
      </c>
      <c r="G84" s="38"/>
      <c r="H84" s="38"/>
      <c r="I84" s="38"/>
    </row>
    <row r="85" spans="2:13" s="24" customFormat="1" ht="16" customHeight="1" x14ac:dyDescent="0.4">
      <c r="B85" s="37" t="s">
        <v>6</v>
      </c>
      <c r="C85" s="37"/>
      <c r="D85" s="23" t="s">
        <v>29</v>
      </c>
      <c r="E85" s="23" t="s">
        <v>15</v>
      </c>
      <c r="F85" s="38">
        <v>11861</v>
      </c>
      <c r="G85" s="38"/>
      <c r="H85" s="38"/>
      <c r="I85" s="38"/>
      <c r="J85" s="24">
        <f>+SUM(F81:I85)</f>
        <v>29930</v>
      </c>
    </row>
    <row r="86" spans="2:13" s="24" customFormat="1" ht="16" customHeight="1" x14ac:dyDescent="0.4">
      <c r="B86" s="37" t="s">
        <v>6</v>
      </c>
      <c r="C86" s="37"/>
      <c r="D86" s="23" t="s">
        <v>29</v>
      </c>
      <c r="E86" s="23" t="s">
        <v>16</v>
      </c>
      <c r="F86" s="38">
        <v>157852</v>
      </c>
      <c r="G86" s="38"/>
      <c r="H86" s="38"/>
      <c r="I86" s="38"/>
    </row>
    <row r="87" spans="2:13" s="24" customFormat="1" ht="16" customHeight="1" x14ac:dyDescent="0.4">
      <c r="B87" s="37" t="s">
        <v>6</v>
      </c>
      <c r="C87" s="37"/>
      <c r="D87" s="23" t="s">
        <v>29</v>
      </c>
      <c r="E87" s="23" t="s">
        <v>17</v>
      </c>
      <c r="F87" s="38">
        <v>32562</v>
      </c>
      <c r="G87" s="38"/>
      <c r="H87" s="38"/>
      <c r="I87" s="38"/>
      <c r="K87" s="25">
        <f>+SUM(F86:I87)</f>
        <v>190414</v>
      </c>
      <c r="L87" s="25">
        <f>+J85+K87</f>
        <v>220344</v>
      </c>
      <c r="M87" s="26">
        <f>+J85/L87</f>
        <v>0.13583306103184112</v>
      </c>
    </row>
    <row r="88" spans="2:13" ht="16" customHeight="1" x14ac:dyDescent="0.4">
      <c r="B88" s="36" t="s">
        <v>6</v>
      </c>
      <c r="C88" s="36"/>
      <c r="D88" s="1" t="s">
        <v>30</v>
      </c>
      <c r="E88" s="1" t="s">
        <v>11</v>
      </c>
      <c r="F88" s="34">
        <v>83</v>
      </c>
      <c r="G88" s="34"/>
      <c r="H88" s="34"/>
      <c r="I88" s="34"/>
    </row>
    <row r="89" spans="2:13" ht="16" customHeight="1" x14ac:dyDescent="0.4">
      <c r="B89" s="36" t="s">
        <v>6</v>
      </c>
      <c r="C89" s="36"/>
      <c r="D89" s="1" t="s">
        <v>30</v>
      </c>
      <c r="E89" s="1" t="s">
        <v>12</v>
      </c>
      <c r="F89" s="35">
        <v>1368</v>
      </c>
      <c r="G89" s="35"/>
      <c r="H89" s="35"/>
      <c r="I89" s="35"/>
    </row>
    <row r="90" spans="2:13" ht="16" customHeight="1" x14ac:dyDescent="0.4">
      <c r="B90" s="36" t="s">
        <v>6</v>
      </c>
      <c r="C90" s="36"/>
      <c r="D90" s="1" t="s">
        <v>30</v>
      </c>
      <c r="E90" s="1" t="s">
        <v>13</v>
      </c>
      <c r="F90" s="35">
        <v>1973</v>
      </c>
      <c r="G90" s="35"/>
      <c r="H90" s="35"/>
      <c r="I90" s="35"/>
    </row>
    <row r="91" spans="2:13" ht="16" customHeight="1" x14ac:dyDescent="0.4">
      <c r="B91" s="36" t="s">
        <v>6</v>
      </c>
      <c r="C91" s="36"/>
      <c r="D91" s="1" t="s">
        <v>30</v>
      </c>
      <c r="E91" s="1" t="s">
        <v>14</v>
      </c>
      <c r="F91" s="35">
        <v>9442</v>
      </c>
      <c r="G91" s="35"/>
      <c r="H91" s="35"/>
      <c r="I91" s="35"/>
    </row>
    <row r="92" spans="2:13" ht="16" customHeight="1" x14ac:dyDescent="0.4">
      <c r="B92" s="36" t="s">
        <v>6</v>
      </c>
      <c r="C92" s="36"/>
      <c r="D92" s="1" t="s">
        <v>30</v>
      </c>
      <c r="E92" s="1" t="s">
        <v>15</v>
      </c>
      <c r="F92" s="35">
        <v>8615</v>
      </c>
      <c r="G92" s="35"/>
      <c r="H92" s="35"/>
      <c r="I92" s="35"/>
      <c r="J92">
        <f>+SUM(F88:I92)</f>
        <v>21481</v>
      </c>
    </row>
    <row r="93" spans="2:13" ht="16" customHeight="1" x14ac:dyDescent="0.4">
      <c r="B93" s="36" t="s">
        <v>6</v>
      </c>
      <c r="C93" s="36"/>
      <c r="D93" s="1" t="s">
        <v>30</v>
      </c>
      <c r="E93" s="1" t="s">
        <v>16</v>
      </c>
      <c r="F93" s="35">
        <v>131620</v>
      </c>
      <c r="G93" s="35"/>
      <c r="H93" s="35"/>
      <c r="I93" s="35"/>
    </row>
    <row r="94" spans="2:13" ht="16" customHeight="1" x14ac:dyDescent="0.4">
      <c r="B94" s="36" t="s">
        <v>6</v>
      </c>
      <c r="C94" s="36"/>
      <c r="D94" s="1" t="s">
        <v>30</v>
      </c>
      <c r="E94" s="1" t="s">
        <v>17</v>
      </c>
      <c r="F94" s="35">
        <v>29399</v>
      </c>
      <c r="G94" s="35"/>
      <c r="H94" s="35"/>
      <c r="I94" s="35"/>
      <c r="K94" s="3">
        <f>+SUM(F93:I94)</f>
        <v>161019</v>
      </c>
      <c r="L94" s="3">
        <f>+J92+K94</f>
        <v>182500</v>
      </c>
      <c r="M94" s="5">
        <f>+J92/L94</f>
        <v>0.11770410958904109</v>
      </c>
    </row>
    <row r="95" spans="2:13" s="24" customFormat="1" ht="16" customHeight="1" x14ac:dyDescent="0.4">
      <c r="B95" s="37" t="s">
        <v>6</v>
      </c>
      <c r="C95" s="37"/>
      <c r="D95" s="23" t="s">
        <v>31</v>
      </c>
      <c r="E95" s="23" t="s">
        <v>11</v>
      </c>
      <c r="F95" s="39">
        <v>110</v>
      </c>
      <c r="G95" s="39"/>
      <c r="H95" s="39"/>
      <c r="I95" s="39"/>
    </row>
    <row r="96" spans="2:13" s="24" customFormat="1" ht="16" customHeight="1" x14ac:dyDescent="0.4">
      <c r="B96" s="37" t="s">
        <v>6</v>
      </c>
      <c r="C96" s="37"/>
      <c r="D96" s="23" t="s">
        <v>31</v>
      </c>
      <c r="E96" s="23" t="s">
        <v>12</v>
      </c>
      <c r="F96" s="38">
        <v>1862</v>
      </c>
      <c r="G96" s="38"/>
      <c r="H96" s="38"/>
      <c r="I96" s="38"/>
    </row>
    <row r="97" spans="2:13" s="24" customFormat="1" ht="16" customHeight="1" x14ac:dyDescent="0.4">
      <c r="B97" s="37" t="s">
        <v>6</v>
      </c>
      <c r="C97" s="37"/>
      <c r="D97" s="23" t="s">
        <v>31</v>
      </c>
      <c r="E97" s="23" t="s">
        <v>13</v>
      </c>
      <c r="F97" s="38">
        <v>2443</v>
      </c>
      <c r="G97" s="38"/>
      <c r="H97" s="38"/>
      <c r="I97" s="38"/>
    </row>
    <row r="98" spans="2:13" s="24" customFormat="1" ht="16" customHeight="1" x14ac:dyDescent="0.4">
      <c r="B98" s="37" t="s">
        <v>6</v>
      </c>
      <c r="C98" s="37"/>
      <c r="D98" s="23" t="s">
        <v>31</v>
      </c>
      <c r="E98" s="23" t="s">
        <v>14</v>
      </c>
      <c r="F98" s="38">
        <v>11910</v>
      </c>
      <c r="G98" s="38"/>
      <c r="H98" s="38"/>
      <c r="I98" s="38"/>
    </row>
    <row r="99" spans="2:13" s="24" customFormat="1" ht="16" customHeight="1" x14ac:dyDescent="0.4">
      <c r="B99" s="37" t="s">
        <v>6</v>
      </c>
      <c r="C99" s="37"/>
      <c r="D99" s="23" t="s">
        <v>31</v>
      </c>
      <c r="E99" s="23" t="s">
        <v>15</v>
      </c>
      <c r="F99" s="38">
        <v>11162</v>
      </c>
      <c r="G99" s="38"/>
      <c r="H99" s="38"/>
      <c r="I99" s="38"/>
      <c r="J99" s="24">
        <f>+SUM(F95:I99)</f>
        <v>27487</v>
      </c>
    </row>
    <row r="100" spans="2:13" s="24" customFormat="1" ht="16" customHeight="1" x14ac:dyDescent="0.4">
      <c r="B100" s="37" t="s">
        <v>6</v>
      </c>
      <c r="C100" s="37"/>
      <c r="D100" s="23" t="s">
        <v>31</v>
      </c>
      <c r="E100" s="23" t="s">
        <v>16</v>
      </c>
      <c r="F100" s="38">
        <v>179514</v>
      </c>
      <c r="G100" s="38"/>
      <c r="H100" s="38"/>
      <c r="I100" s="38"/>
    </row>
    <row r="101" spans="2:13" s="24" customFormat="1" ht="16" customHeight="1" x14ac:dyDescent="0.4">
      <c r="B101" s="37" t="s">
        <v>6</v>
      </c>
      <c r="C101" s="37"/>
      <c r="D101" s="23" t="s">
        <v>31</v>
      </c>
      <c r="E101" s="23" t="s">
        <v>17</v>
      </c>
      <c r="F101" s="38">
        <v>40428</v>
      </c>
      <c r="G101" s="38"/>
      <c r="H101" s="38"/>
      <c r="I101" s="38"/>
      <c r="K101" s="25">
        <f>+SUM(F100:I101)</f>
        <v>219942</v>
      </c>
      <c r="L101" s="25">
        <f>+J99+K101</f>
        <v>247429</v>
      </c>
      <c r="M101" s="26">
        <f>+J99/L101</f>
        <v>0.11109045423131485</v>
      </c>
    </row>
    <row r="102" spans="2:13" ht="16" customHeight="1" x14ac:dyDescent="0.4">
      <c r="B102" s="36" t="s">
        <v>6</v>
      </c>
      <c r="C102" s="36"/>
      <c r="D102" s="1" t="s">
        <v>32</v>
      </c>
      <c r="E102" s="1" t="s">
        <v>11</v>
      </c>
      <c r="F102" s="34">
        <v>74</v>
      </c>
      <c r="G102" s="34"/>
      <c r="H102" s="34"/>
      <c r="I102" s="34"/>
    </row>
    <row r="103" spans="2:13" ht="16" customHeight="1" x14ac:dyDescent="0.4">
      <c r="B103" s="36" t="s">
        <v>6</v>
      </c>
      <c r="C103" s="36"/>
      <c r="D103" s="1" t="s">
        <v>32</v>
      </c>
      <c r="E103" s="1" t="s">
        <v>12</v>
      </c>
      <c r="F103" s="35">
        <v>1201</v>
      </c>
      <c r="G103" s="35"/>
      <c r="H103" s="35"/>
      <c r="I103" s="35"/>
    </row>
    <row r="104" spans="2:13" ht="16" customHeight="1" x14ac:dyDescent="0.4">
      <c r="B104" s="36" t="s">
        <v>6</v>
      </c>
      <c r="C104" s="36"/>
      <c r="D104" s="1" t="s">
        <v>32</v>
      </c>
      <c r="E104" s="1" t="s">
        <v>13</v>
      </c>
      <c r="F104" s="35">
        <v>1667</v>
      </c>
      <c r="G104" s="35"/>
      <c r="H104" s="35"/>
      <c r="I104" s="35"/>
    </row>
    <row r="105" spans="2:13" ht="16" customHeight="1" x14ac:dyDescent="0.4">
      <c r="B105" s="36" t="s">
        <v>6</v>
      </c>
      <c r="C105" s="36"/>
      <c r="D105" s="1" t="s">
        <v>32</v>
      </c>
      <c r="E105" s="1" t="s">
        <v>14</v>
      </c>
      <c r="F105" s="35">
        <v>7745</v>
      </c>
      <c r="G105" s="35"/>
      <c r="H105" s="35"/>
      <c r="I105" s="35"/>
    </row>
    <row r="106" spans="2:13" ht="16" customHeight="1" x14ac:dyDescent="0.4">
      <c r="B106" s="36" t="s">
        <v>6</v>
      </c>
      <c r="C106" s="36"/>
      <c r="D106" s="1" t="s">
        <v>32</v>
      </c>
      <c r="E106" s="1" t="s">
        <v>15</v>
      </c>
      <c r="F106" s="35">
        <v>7047</v>
      </c>
      <c r="G106" s="35"/>
      <c r="H106" s="35"/>
      <c r="I106" s="35"/>
      <c r="J106">
        <f>+SUM(F102:I106)</f>
        <v>17734</v>
      </c>
    </row>
    <row r="107" spans="2:13" ht="16" customHeight="1" x14ac:dyDescent="0.4">
      <c r="B107" s="36" t="s">
        <v>6</v>
      </c>
      <c r="C107" s="36"/>
      <c r="D107" s="1" t="s">
        <v>32</v>
      </c>
      <c r="E107" s="1" t="s">
        <v>16</v>
      </c>
      <c r="F107" s="35">
        <v>116424</v>
      </c>
      <c r="G107" s="35"/>
      <c r="H107" s="35"/>
      <c r="I107" s="35"/>
    </row>
    <row r="108" spans="2:13" ht="16" customHeight="1" x14ac:dyDescent="0.4">
      <c r="B108" s="36" t="s">
        <v>6</v>
      </c>
      <c r="C108" s="36"/>
      <c r="D108" s="1" t="s">
        <v>32</v>
      </c>
      <c r="E108" s="1" t="s">
        <v>17</v>
      </c>
      <c r="F108" s="35">
        <v>25951</v>
      </c>
      <c r="G108" s="35"/>
      <c r="H108" s="35"/>
      <c r="I108" s="35"/>
      <c r="K108" s="3">
        <f>+SUM(F107:I108)</f>
        <v>142375</v>
      </c>
      <c r="L108" s="3">
        <f>+J106+K108</f>
        <v>160109</v>
      </c>
      <c r="M108" s="5">
        <f>+J106/L108</f>
        <v>0.11076204335796239</v>
      </c>
    </row>
    <row r="109" spans="2:13" s="24" customFormat="1" ht="16" customHeight="1" x14ac:dyDescent="0.4">
      <c r="B109" s="37" t="s">
        <v>6</v>
      </c>
      <c r="C109" s="37"/>
      <c r="D109" s="23" t="s">
        <v>33</v>
      </c>
      <c r="E109" s="23" t="s">
        <v>11</v>
      </c>
      <c r="F109" s="39">
        <v>48</v>
      </c>
      <c r="G109" s="39"/>
      <c r="H109" s="39"/>
      <c r="I109" s="39"/>
    </row>
    <row r="110" spans="2:13" s="24" customFormat="1" ht="16" customHeight="1" x14ac:dyDescent="0.4">
      <c r="B110" s="37" t="s">
        <v>6</v>
      </c>
      <c r="C110" s="37"/>
      <c r="D110" s="23" t="s">
        <v>33</v>
      </c>
      <c r="E110" s="23" t="s">
        <v>12</v>
      </c>
      <c r="F110" s="39">
        <v>939</v>
      </c>
      <c r="G110" s="39"/>
      <c r="H110" s="39"/>
      <c r="I110" s="39"/>
    </row>
    <row r="111" spans="2:13" s="24" customFormat="1" ht="16" customHeight="1" x14ac:dyDescent="0.4">
      <c r="B111" s="37" t="s">
        <v>6</v>
      </c>
      <c r="C111" s="37"/>
      <c r="D111" s="23" t="s">
        <v>33</v>
      </c>
      <c r="E111" s="23" t="s">
        <v>13</v>
      </c>
      <c r="F111" s="38">
        <v>1268</v>
      </c>
      <c r="G111" s="38"/>
      <c r="H111" s="38"/>
      <c r="I111" s="38"/>
    </row>
    <row r="112" spans="2:13" s="24" customFormat="1" ht="16" customHeight="1" x14ac:dyDescent="0.4">
      <c r="B112" s="37" t="s">
        <v>6</v>
      </c>
      <c r="C112" s="37"/>
      <c r="D112" s="23" t="s">
        <v>33</v>
      </c>
      <c r="E112" s="23" t="s">
        <v>14</v>
      </c>
      <c r="F112" s="38">
        <v>5473</v>
      </c>
      <c r="G112" s="38"/>
      <c r="H112" s="38"/>
      <c r="I112" s="38"/>
    </row>
    <row r="113" spans="2:13" s="24" customFormat="1" ht="16" customHeight="1" x14ac:dyDescent="0.4">
      <c r="B113" s="37" t="s">
        <v>6</v>
      </c>
      <c r="C113" s="37"/>
      <c r="D113" s="23" t="s">
        <v>33</v>
      </c>
      <c r="E113" s="23" t="s">
        <v>15</v>
      </c>
      <c r="F113" s="38">
        <v>4914</v>
      </c>
      <c r="G113" s="38"/>
      <c r="H113" s="38"/>
      <c r="I113" s="38"/>
      <c r="J113" s="24">
        <f>+SUM(F109:I113)</f>
        <v>12642</v>
      </c>
    </row>
    <row r="114" spans="2:13" s="24" customFormat="1" ht="16" customHeight="1" x14ac:dyDescent="0.4">
      <c r="B114" s="37" t="s">
        <v>6</v>
      </c>
      <c r="C114" s="37"/>
      <c r="D114" s="23" t="s">
        <v>33</v>
      </c>
      <c r="E114" s="23" t="s">
        <v>16</v>
      </c>
      <c r="F114" s="38">
        <v>82730</v>
      </c>
      <c r="G114" s="38"/>
      <c r="H114" s="38"/>
      <c r="I114" s="38"/>
    </row>
    <row r="115" spans="2:13" s="24" customFormat="1" ht="16" customHeight="1" x14ac:dyDescent="0.4">
      <c r="B115" s="37" t="s">
        <v>6</v>
      </c>
      <c r="C115" s="37"/>
      <c r="D115" s="23" t="s">
        <v>33</v>
      </c>
      <c r="E115" s="23" t="s">
        <v>17</v>
      </c>
      <c r="F115" s="38">
        <v>18192</v>
      </c>
      <c r="G115" s="38"/>
      <c r="H115" s="38"/>
      <c r="I115" s="38"/>
      <c r="K115" s="25">
        <f>+SUM(F114:I115)</f>
        <v>100922</v>
      </c>
      <c r="L115" s="25">
        <f>+J113+K115</f>
        <v>113564</v>
      </c>
      <c r="M115" s="26">
        <f>+J113/L115</f>
        <v>0.11132048888732345</v>
      </c>
    </row>
    <row r="116" spans="2:13" ht="16" customHeight="1" x14ac:dyDescent="0.4">
      <c r="B116" s="36" t="s">
        <v>6</v>
      </c>
      <c r="C116" s="36"/>
      <c r="D116" s="1" t="s">
        <v>34</v>
      </c>
      <c r="E116" s="1" t="s">
        <v>11</v>
      </c>
      <c r="F116" s="34">
        <v>40</v>
      </c>
      <c r="G116" s="34"/>
      <c r="H116" s="34"/>
      <c r="I116" s="34"/>
    </row>
    <row r="117" spans="2:13" ht="16" customHeight="1" x14ac:dyDescent="0.4">
      <c r="B117" s="36" t="s">
        <v>6</v>
      </c>
      <c r="C117" s="36"/>
      <c r="D117" s="1" t="s">
        <v>34</v>
      </c>
      <c r="E117" s="1" t="s">
        <v>12</v>
      </c>
      <c r="F117" s="34">
        <v>676</v>
      </c>
      <c r="G117" s="34"/>
      <c r="H117" s="34"/>
      <c r="I117" s="34"/>
    </row>
    <row r="118" spans="2:13" ht="16" customHeight="1" x14ac:dyDescent="0.4">
      <c r="B118" s="36" t="s">
        <v>6</v>
      </c>
      <c r="C118" s="36"/>
      <c r="D118" s="1" t="s">
        <v>34</v>
      </c>
      <c r="E118" s="1" t="s">
        <v>13</v>
      </c>
      <c r="F118" s="34">
        <v>888</v>
      </c>
      <c r="G118" s="34"/>
      <c r="H118" s="34"/>
      <c r="I118" s="34"/>
    </row>
    <row r="119" spans="2:13" ht="16" customHeight="1" x14ac:dyDescent="0.4">
      <c r="B119" s="36" t="s">
        <v>6</v>
      </c>
      <c r="C119" s="36"/>
      <c r="D119" s="1" t="s">
        <v>34</v>
      </c>
      <c r="E119" s="1" t="s">
        <v>14</v>
      </c>
      <c r="F119" s="35">
        <v>3772</v>
      </c>
      <c r="G119" s="35"/>
      <c r="H119" s="35"/>
      <c r="I119" s="35"/>
    </row>
    <row r="120" spans="2:13" ht="16" customHeight="1" x14ac:dyDescent="0.4">
      <c r="B120" s="36" t="s">
        <v>6</v>
      </c>
      <c r="C120" s="36"/>
      <c r="D120" s="1" t="s">
        <v>34</v>
      </c>
      <c r="E120" s="1" t="s">
        <v>15</v>
      </c>
      <c r="F120" s="35">
        <v>3322</v>
      </c>
      <c r="G120" s="35"/>
      <c r="H120" s="35"/>
      <c r="I120" s="35"/>
      <c r="J120">
        <f>+SUM(F116:I120)</f>
        <v>8698</v>
      </c>
    </row>
    <row r="121" spans="2:13" ht="16" customHeight="1" x14ac:dyDescent="0.4">
      <c r="B121" s="36" t="s">
        <v>6</v>
      </c>
      <c r="C121" s="36"/>
      <c r="D121" s="1" t="s">
        <v>34</v>
      </c>
      <c r="E121" s="1" t="s">
        <v>16</v>
      </c>
      <c r="F121" s="35">
        <v>56697</v>
      </c>
      <c r="G121" s="35"/>
      <c r="H121" s="35"/>
      <c r="I121" s="35"/>
    </row>
    <row r="122" spans="2:13" ht="16" customHeight="1" x14ac:dyDescent="0.4">
      <c r="B122" s="36" t="s">
        <v>6</v>
      </c>
      <c r="C122" s="36"/>
      <c r="D122" s="1" t="s">
        <v>34</v>
      </c>
      <c r="E122" s="1" t="s">
        <v>17</v>
      </c>
      <c r="F122" s="35">
        <v>12891</v>
      </c>
      <c r="G122" s="35"/>
      <c r="H122" s="35"/>
      <c r="I122" s="35"/>
      <c r="K122" s="3">
        <f>+SUM(F121:I122)</f>
        <v>69588</v>
      </c>
      <c r="L122" s="3">
        <f>+J120+K122</f>
        <v>78286</v>
      </c>
      <c r="M122" s="5">
        <f>+J120/L122</f>
        <v>0.11110543392177401</v>
      </c>
    </row>
    <row r="123" spans="2:13" s="24" customFormat="1" ht="16" customHeight="1" x14ac:dyDescent="0.4">
      <c r="B123" s="37" t="s">
        <v>6</v>
      </c>
      <c r="C123" s="37"/>
      <c r="D123" s="23" t="s">
        <v>35</v>
      </c>
      <c r="E123" s="23" t="s">
        <v>11</v>
      </c>
      <c r="F123" s="39">
        <v>64</v>
      </c>
      <c r="G123" s="39"/>
      <c r="H123" s="39"/>
      <c r="I123" s="39"/>
    </row>
    <row r="124" spans="2:13" s="24" customFormat="1" ht="16" customHeight="1" x14ac:dyDescent="0.4">
      <c r="B124" s="37" t="s">
        <v>6</v>
      </c>
      <c r="C124" s="37"/>
      <c r="D124" s="23" t="s">
        <v>35</v>
      </c>
      <c r="E124" s="23" t="s">
        <v>12</v>
      </c>
      <c r="F124" s="38">
        <v>1414</v>
      </c>
      <c r="G124" s="38"/>
      <c r="H124" s="38"/>
      <c r="I124" s="38"/>
    </row>
    <row r="125" spans="2:13" s="24" customFormat="1" ht="16" customHeight="1" x14ac:dyDescent="0.4">
      <c r="B125" s="37" t="s">
        <v>6</v>
      </c>
      <c r="C125" s="37"/>
      <c r="D125" s="23" t="s">
        <v>35</v>
      </c>
      <c r="E125" s="23" t="s">
        <v>13</v>
      </c>
      <c r="F125" s="38">
        <v>1697</v>
      </c>
      <c r="G125" s="38"/>
      <c r="H125" s="38"/>
      <c r="I125" s="38"/>
    </row>
    <row r="126" spans="2:13" s="24" customFormat="1" ht="16" customHeight="1" x14ac:dyDescent="0.4">
      <c r="B126" s="37" t="s">
        <v>6</v>
      </c>
      <c r="C126" s="37"/>
      <c r="D126" s="23" t="s">
        <v>35</v>
      </c>
      <c r="E126" s="23" t="s">
        <v>14</v>
      </c>
      <c r="F126" s="38">
        <v>7153</v>
      </c>
      <c r="G126" s="38"/>
      <c r="H126" s="38"/>
      <c r="I126" s="38"/>
    </row>
    <row r="127" spans="2:13" s="24" customFormat="1" ht="16" customHeight="1" x14ac:dyDescent="0.4">
      <c r="B127" s="37" t="s">
        <v>6</v>
      </c>
      <c r="C127" s="37"/>
      <c r="D127" s="23" t="s">
        <v>35</v>
      </c>
      <c r="E127" s="23" t="s">
        <v>15</v>
      </c>
      <c r="F127" s="38">
        <v>6510</v>
      </c>
      <c r="G127" s="38"/>
      <c r="H127" s="38"/>
      <c r="I127" s="38"/>
      <c r="J127" s="24">
        <f>+SUM(F123:I127)</f>
        <v>16838</v>
      </c>
    </row>
    <row r="128" spans="2:13" s="24" customFormat="1" ht="16" customHeight="1" x14ac:dyDescent="0.4">
      <c r="B128" s="37" t="s">
        <v>6</v>
      </c>
      <c r="C128" s="37"/>
      <c r="D128" s="23" t="s">
        <v>35</v>
      </c>
      <c r="E128" s="23" t="s">
        <v>16</v>
      </c>
      <c r="F128" s="38">
        <v>103550</v>
      </c>
      <c r="G128" s="38"/>
      <c r="H128" s="38"/>
      <c r="I128" s="38"/>
    </row>
    <row r="129" spans="2:13" s="24" customFormat="1" ht="16" customHeight="1" x14ac:dyDescent="0.4">
      <c r="B129" s="37" t="s">
        <v>6</v>
      </c>
      <c r="C129" s="37"/>
      <c r="D129" s="23" t="s">
        <v>35</v>
      </c>
      <c r="E129" s="23" t="s">
        <v>17</v>
      </c>
      <c r="F129" s="38">
        <v>23867</v>
      </c>
      <c r="G129" s="38"/>
      <c r="H129" s="38"/>
      <c r="I129" s="38"/>
      <c r="K129" s="25">
        <f>+SUM(F128:I129)</f>
        <v>127417</v>
      </c>
      <c r="L129" s="25">
        <f>+J127+K129</f>
        <v>144255</v>
      </c>
      <c r="M129" s="26">
        <f>+J127/L129</f>
        <v>0.11672385705868081</v>
      </c>
    </row>
    <row r="130" spans="2:13" ht="16" customHeight="1" x14ac:dyDescent="0.4">
      <c r="B130" s="36" t="s">
        <v>6</v>
      </c>
      <c r="C130" s="36"/>
      <c r="D130" s="1" t="s">
        <v>36</v>
      </c>
      <c r="E130" s="1" t="s">
        <v>11</v>
      </c>
      <c r="F130" s="34">
        <v>624</v>
      </c>
      <c r="G130" s="34"/>
      <c r="H130" s="34"/>
      <c r="I130" s="34"/>
    </row>
    <row r="131" spans="2:13" ht="16" customHeight="1" x14ac:dyDescent="0.4">
      <c r="B131" s="36" t="s">
        <v>6</v>
      </c>
      <c r="C131" s="36"/>
      <c r="D131" s="1" t="s">
        <v>36</v>
      </c>
      <c r="E131" s="1" t="s">
        <v>12</v>
      </c>
      <c r="F131" s="35">
        <v>9705</v>
      </c>
      <c r="G131" s="35"/>
      <c r="H131" s="35"/>
      <c r="I131" s="35"/>
    </row>
    <row r="132" spans="2:13" ht="16" customHeight="1" x14ac:dyDescent="0.4">
      <c r="B132" s="36" t="s">
        <v>6</v>
      </c>
      <c r="C132" s="36"/>
      <c r="D132" s="1" t="s">
        <v>36</v>
      </c>
      <c r="E132" s="1" t="s">
        <v>13</v>
      </c>
      <c r="F132" s="35">
        <v>9744</v>
      </c>
      <c r="G132" s="35"/>
      <c r="H132" s="35"/>
      <c r="I132" s="35"/>
    </row>
    <row r="133" spans="2:13" ht="16" customHeight="1" x14ac:dyDescent="0.4">
      <c r="B133" s="36" t="s">
        <v>6</v>
      </c>
      <c r="C133" s="36"/>
      <c r="D133" s="1" t="s">
        <v>36</v>
      </c>
      <c r="E133" s="1" t="s">
        <v>14</v>
      </c>
      <c r="F133" s="35">
        <v>34282</v>
      </c>
      <c r="G133" s="35"/>
      <c r="H133" s="35"/>
      <c r="I133" s="35"/>
    </row>
    <row r="134" spans="2:13" ht="16" customHeight="1" x14ac:dyDescent="0.4">
      <c r="B134" s="36" t="s">
        <v>6</v>
      </c>
      <c r="C134" s="36"/>
      <c r="D134" s="1" t="s">
        <v>36</v>
      </c>
      <c r="E134" s="1" t="s">
        <v>15</v>
      </c>
      <c r="F134" s="35">
        <v>27163</v>
      </c>
      <c r="G134" s="35"/>
      <c r="H134" s="35"/>
      <c r="I134" s="35"/>
      <c r="J134">
        <f>+SUM(F130:I134)</f>
        <v>81518</v>
      </c>
    </row>
    <row r="135" spans="2:13" ht="16" customHeight="1" x14ac:dyDescent="0.4">
      <c r="B135" s="36" t="s">
        <v>6</v>
      </c>
      <c r="C135" s="36"/>
      <c r="D135" s="1" t="s">
        <v>36</v>
      </c>
      <c r="E135" s="1" t="s">
        <v>16</v>
      </c>
      <c r="F135" s="35">
        <v>455801</v>
      </c>
      <c r="G135" s="35"/>
      <c r="H135" s="35"/>
      <c r="I135" s="35"/>
    </row>
    <row r="136" spans="2:13" ht="16" customHeight="1" x14ac:dyDescent="0.4">
      <c r="B136" s="36" t="s">
        <v>6</v>
      </c>
      <c r="C136" s="36"/>
      <c r="D136" s="1" t="s">
        <v>36</v>
      </c>
      <c r="E136" s="1" t="s">
        <v>17</v>
      </c>
      <c r="F136" s="35">
        <v>176847</v>
      </c>
      <c r="G136" s="35"/>
      <c r="H136" s="35"/>
      <c r="I136" s="35"/>
      <c r="K136" s="3">
        <f>+SUM(F135:I136)</f>
        <v>632648</v>
      </c>
      <c r="L136" s="3">
        <f>+J134+K136</f>
        <v>714166</v>
      </c>
      <c r="M136" s="5">
        <f>+J134/L136</f>
        <v>0.11414433058980686</v>
      </c>
    </row>
    <row r="137" spans="2:13" s="24" customFormat="1" ht="16" customHeight="1" x14ac:dyDescent="0.4">
      <c r="B137" s="37" t="s">
        <v>8</v>
      </c>
      <c r="C137" s="37"/>
      <c r="D137" s="23" t="s">
        <v>27</v>
      </c>
      <c r="E137" s="23" t="s">
        <v>11</v>
      </c>
      <c r="F137" s="39">
        <v>154</v>
      </c>
      <c r="G137" s="39"/>
      <c r="H137" s="39"/>
      <c r="I137" s="39"/>
    </row>
    <row r="138" spans="2:13" s="24" customFormat="1" ht="16" customHeight="1" x14ac:dyDescent="0.4">
      <c r="B138" s="37" t="s">
        <v>8</v>
      </c>
      <c r="C138" s="37"/>
      <c r="D138" s="23" t="s">
        <v>27</v>
      </c>
      <c r="E138" s="23" t="s">
        <v>12</v>
      </c>
      <c r="F138" s="38">
        <v>3528</v>
      </c>
      <c r="G138" s="38"/>
      <c r="H138" s="38"/>
      <c r="I138" s="38"/>
    </row>
    <row r="139" spans="2:13" s="24" customFormat="1" ht="16" customHeight="1" x14ac:dyDescent="0.4">
      <c r="B139" s="37" t="s">
        <v>8</v>
      </c>
      <c r="C139" s="37"/>
      <c r="D139" s="23" t="s">
        <v>27</v>
      </c>
      <c r="E139" s="23" t="s">
        <v>13</v>
      </c>
      <c r="F139" s="38">
        <v>6520</v>
      </c>
      <c r="G139" s="38"/>
      <c r="H139" s="38"/>
      <c r="I139" s="38"/>
    </row>
    <row r="140" spans="2:13" s="24" customFormat="1" ht="16" customHeight="1" x14ac:dyDescent="0.4">
      <c r="B140" s="37" t="s">
        <v>8</v>
      </c>
      <c r="C140" s="37"/>
      <c r="D140" s="23" t="s">
        <v>27</v>
      </c>
      <c r="E140" s="23" t="s">
        <v>14</v>
      </c>
      <c r="F140" s="38">
        <v>29101</v>
      </c>
      <c r="G140" s="38"/>
      <c r="H140" s="38"/>
      <c r="I140" s="38"/>
    </row>
    <row r="141" spans="2:13" s="24" customFormat="1" ht="16" customHeight="1" x14ac:dyDescent="0.4">
      <c r="B141" s="37" t="s">
        <v>8</v>
      </c>
      <c r="C141" s="37"/>
      <c r="D141" s="23" t="s">
        <v>27</v>
      </c>
      <c r="E141" s="23" t="s">
        <v>15</v>
      </c>
      <c r="F141" s="38">
        <v>16593</v>
      </c>
      <c r="G141" s="38"/>
      <c r="H141" s="38"/>
      <c r="I141" s="38"/>
      <c r="J141" s="24">
        <f>+SUM(F137:I141)</f>
        <v>55896</v>
      </c>
    </row>
    <row r="142" spans="2:13" s="24" customFormat="1" ht="16" customHeight="1" x14ac:dyDescent="0.4">
      <c r="B142" s="37" t="s">
        <v>8</v>
      </c>
      <c r="C142" s="37"/>
      <c r="D142" s="23" t="s">
        <v>27</v>
      </c>
      <c r="E142" s="23" t="s">
        <v>16</v>
      </c>
      <c r="F142" s="38">
        <v>31359</v>
      </c>
      <c r="G142" s="38"/>
      <c r="H142" s="38"/>
      <c r="I142" s="38"/>
    </row>
    <row r="143" spans="2:13" s="24" customFormat="1" ht="16" customHeight="1" x14ac:dyDescent="0.4">
      <c r="B143" s="37" t="s">
        <v>8</v>
      </c>
      <c r="C143" s="37"/>
      <c r="D143" s="23" t="s">
        <v>27</v>
      </c>
      <c r="E143" s="23" t="s">
        <v>17</v>
      </c>
      <c r="F143" s="39">
        <v>198</v>
      </c>
      <c r="G143" s="39"/>
      <c r="H143" s="39"/>
      <c r="I143" s="39"/>
      <c r="K143" s="25">
        <f>+SUM(F142:I143)</f>
        <v>31557</v>
      </c>
      <c r="L143" s="25">
        <f>+J141+K143</f>
        <v>87453</v>
      </c>
      <c r="M143" s="26">
        <f>+J141/L143</f>
        <v>0.6391547459778395</v>
      </c>
    </row>
    <row r="144" spans="2:13" ht="16" customHeight="1" x14ac:dyDescent="0.4">
      <c r="B144" s="36" t="s">
        <v>8</v>
      </c>
      <c r="C144" s="36"/>
      <c r="D144" s="1" t="s">
        <v>28</v>
      </c>
      <c r="E144" s="1" t="s">
        <v>11</v>
      </c>
      <c r="F144" s="34">
        <v>255</v>
      </c>
      <c r="G144" s="34"/>
      <c r="H144" s="34"/>
      <c r="I144" s="34"/>
    </row>
    <row r="145" spans="2:13" ht="16" customHeight="1" x14ac:dyDescent="0.4">
      <c r="B145" s="36" t="s">
        <v>8</v>
      </c>
      <c r="C145" s="36"/>
      <c r="D145" s="1" t="s">
        <v>28</v>
      </c>
      <c r="E145" s="1" t="s">
        <v>12</v>
      </c>
      <c r="F145" s="35">
        <v>3251</v>
      </c>
      <c r="G145" s="35"/>
      <c r="H145" s="35"/>
      <c r="I145" s="35"/>
    </row>
    <row r="146" spans="2:13" ht="16" customHeight="1" x14ac:dyDescent="0.4">
      <c r="B146" s="36" t="s">
        <v>8</v>
      </c>
      <c r="C146" s="36"/>
      <c r="D146" s="1" t="s">
        <v>28</v>
      </c>
      <c r="E146" s="1" t="s">
        <v>13</v>
      </c>
      <c r="F146" s="35">
        <v>4164</v>
      </c>
      <c r="G146" s="35"/>
      <c r="H146" s="35"/>
      <c r="I146" s="35"/>
    </row>
    <row r="147" spans="2:13" ht="16" customHeight="1" x14ac:dyDescent="0.4">
      <c r="B147" s="36" t="s">
        <v>8</v>
      </c>
      <c r="C147" s="36"/>
      <c r="D147" s="1" t="s">
        <v>28</v>
      </c>
      <c r="E147" s="1" t="s">
        <v>14</v>
      </c>
      <c r="F147" s="35">
        <v>18220</v>
      </c>
      <c r="G147" s="35"/>
      <c r="H147" s="35"/>
      <c r="I147" s="35"/>
    </row>
    <row r="148" spans="2:13" ht="16" customHeight="1" x14ac:dyDescent="0.4">
      <c r="B148" s="36" t="s">
        <v>8</v>
      </c>
      <c r="C148" s="36"/>
      <c r="D148" s="1" t="s">
        <v>28</v>
      </c>
      <c r="E148" s="1" t="s">
        <v>15</v>
      </c>
      <c r="F148" s="35">
        <v>15274</v>
      </c>
      <c r="G148" s="35"/>
      <c r="H148" s="35"/>
      <c r="I148" s="35"/>
      <c r="J148">
        <f>+SUM(F144:I148)</f>
        <v>41164</v>
      </c>
    </row>
    <row r="149" spans="2:13" ht="16" customHeight="1" x14ac:dyDescent="0.4">
      <c r="B149" s="36" t="s">
        <v>8</v>
      </c>
      <c r="C149" s="36"/>
      <c r="D149" s="1" t="s">
        <v>28</v>
      </c>
      <c r="E149" s="1" t="s">
        <v>16</v>
      </c>
      <c r="F149" s="35">
        <v>207521</v>
      </c>
      <c r="G149" s="35"/>
      <c r="H149" s="35"/>
      <c r="I149" s="35"/>
    </row>
    <row r="150" spans="2:13" ht="16" customHeight="1" x14ac:dyDescent="0.4">
      <c r="B150" s="36" t="s">
        <v>8</v>
      </c>
      <c r="C150" s="36"/>
      <c r="D150" s="1" t="s">
        <v>28</v>
      </c>
      <c r="E150" s="1" t="s">
        <v>17</v>
      </c>
      <c r="F150" s="35">
        <v>47539</v>
      </c>
      <c r="G150" s="35"/>
      <c r="H150" s="35"/>
      <c r="I150" s="35"/>
      <c r="K150" s="3">
        <f>+SUM(F149:I150)</f>
        <v>255060</v>
      </c>
      <c r="L150" s="3">
        <f>+J148+K150</f>
        <v>296224</v>
      </c>
      <c r="M150" s="5">
        <f>+J148/L150</f>
        <v>0.13896240682726585</v>
      </c>
    </row>
    <row r="151" spans="2:13" s="24" customFormat="1" ht="16" customHeight="1" x14ac:dyDescent="0.4">
      <c r="B151" s="37" t="s">
        <v>8</v>
      </c>
      <c r="C151" s="37"/>
      <c r="D151" s="23" t="s">
        <v>29</v>
      </c>
      <c r="E151" s="23" t="s">
        <v>11</v>
      </c>
      <c r="F151" s="39">
        <v>154</v>
      </c>
      <c r="G151" s="39"/>
      <c r="H151" s="39"/>
      <c r="I151" s="39"/>
    </row>
    <row r="152" spans="2:13" s="24" customFormat="1" ht="16" customHeight="1" x14ac:dyDescent="0.4">
      <c r="B152" s="37" t="s">
        <v>8</v>
      </c>
      <c r="C152" s="37"/>
      <c r="D152" s="23" t="s">
        <v>29</v>
      </c>
      <c r="E152" s="23" t="s">
        <v>12</v>
      </c>
      <c r="F152" s="38">
        <v>2498</v>
      </c>
      <c r="G152" s="38"/>
      <c r="H152" s="38"/>
      <c r="I152" s="38"/>
    </row>
    <row r="153" spans="2:13" s="24" customFormat="1" ht="16" customHeight="1" x14ac:dyDescent="0.4">
      <c r="B153" s="37" t="s">
        <v>8</v>
      </c>
      <c r="C153" s="37"/>
      <c r="D153" s="23" t="s">
        <v>29</v>
      </c>
      <c r="E153" s="23" t="s">
        <v>13</v>
      </c>
      <c r="F153" s="38">
        <v>4427</v>
      </c>
      <c r="G153" s="38"/>
      <c r="H153" s="38"/>
      <c r="I153" s="38"/>
    </row>
    <row r="154" spans="2:13" s="24" customFormat="1" ht="16" customHeight="1" x14ac:dyDescent="0.4">
      <c r="B154" s="37" t="s">
        <v>8</v>
      </c>
      <c r="C154" s="37"/>
      <c r="D154" s="23" t="s">
        <v>29</v>
      </c>
      <c r="E154" s="23" t="s">
        <v>14</v>
      </c>
      <c r="F154" s="38">
        <v>28908</v>
      </c>
      <c r="G154" s="38"/>
      <c r="H154" s="38"/>
      <c r="I154" s="38"/>
    </row>
    <row r="155" spans="2:13" s="24" customFormat="1" ht="16" customHeight="1" x14ac:dyDescent="0.4">
      <c r="B155" s="37" t="s">
        <v>8</v>
      </c>
      <c r="C155" s="37"/>
      <c r="D155" s="23" t="s">
        <v>29</v>
      </c>
      <c r="E155" s="23" t="s">
        <v>15</v>
      </c>
      <c r="F155" s="38">
        <v>30621</v>
      </c>
      <c r="G155" s="38"/>
      <c r="H155" s="38"/>
      <c r="I155" s="38"/>
      <c r="J155" s="24">
        <f>+SUM(F151:I155)</f>
        <v>66608</v>
      </c>
    </row>
    <row r="156" spans="2:13" s="24" customFormat="1" ht="16" customHeight="1" x14ac:dyDescent="0.4">
      <c r="B156" s="37" t="s">
        <v>8</v>
      </c>
      <c r="C156" s="37"/>
      <c r="D156" s="23" t="s">
        <v>29</v>
      </c>
      <c r="E156" s="23" t="s">
        <v>16</v>
      </c>
      <c r="F156" s="38">
        <v>541172</v>
      </c>
      <c r="G156" s="38"/>
      <c r="H156" s="38"/>
      <c r="I156" s="38"/>
    </row>
    <row r="157" spans="2:13" s="24" customFormat="1" ht="16" customHeight="1" x14ac:dyDescent="0.4">
      <c r="B157" s="37" t="s">
        <v>8</v>
      </c>
      <c r="C157" s="37"/>
      <c r="D157" s="23" t="s">
        <v>29</v>
      </c>
      <c r="E157" s="23" t="s">
        <v>17</v>
      </c>
      <c r="F157" s="38">
        <v>135350</v>
      </c>
      <c r="G157" s="38"/>
      <c r="H157" s="38"/>
      <c r="I157" s="38"/>
      <c r="K157" s="25">
        <f>+SUM(F156:I157)</f>
        <v>676522</v>
      </c>
      <c r="L157" s="25">
        <f>+J155+K157</f>
        <v>743130</v>
      </c>
      <c r="M157" s="26">
        <f>+J155/L157</f>
        <v>8.9631692974311353E-2</v>
      </c>
    </row>
    <row r="158" spans="2:13" ht="16" customHeight="1" x14ac:dyDescent="0.4">
      <c r="B158" s="36" t="s">
        <v>8</v>
      </c>
      <c r="C158" s="36"/>
      <c r="D158" s="1" t="s">
        <v>30</v>
      </c>
      <c r="E158" s="1" t="s">
        <v>11</v>
      </c>
      <c r="F158" s="34">
        <v>97</v>
      </c>
      <c r="G158" s="34"/>
      <c r="H158" s="34"/>
      <c r="I158" s="34"/>
    </row>
    <row r="159" spans="2:13" ht="16" customHeight="1" x14ac:dyDescent="0.4">
      <c r="B159" s="36" t="s">
        <v>8</v>
      </c>
      <c r="C159" s="36"/>
      <c r="D159" s="1" t="s">
        <v>30</v>
      </c>
      <c r="E159" s="1" t="s">
        <v>12</v>
      </c>
      <c r="F159" s="35">
        <v>1986</v>
      </c>
      <c r="G159" s="35"/>
      <c r="H159" s="35"/>
      <c r="I159" s="35"/>
    </row>
    <row r="160" spans="2:13" ht="16" customHeight="1" x14ac:dyDescent="0.4">
      <c r="B160" s="36" t="s">
        <v>8</v>
      </c>
      <c r="C160" s="36"/>
      <c r="D160" s="1" t="s">
        <v>30</v>
      </c>
      <c r="E160" s="1" t="s">
        <v>13</v>
      </c>
      <c r="F160" s="35">
        <v>3754</v>
      </c>
      <c r="G160" s="35"/>
      <c r="H160" s="35"/>
      <c r="I160" s="35"/>
    </row>
    <row r="161" spans="2:13" ht="16" customHeight="1" x14ac:dyDescent="0.4">
      <c r="B161" s="36" t="s">
        <v>8</v>
      </c>
      <c r="C161" s="36"/>
      <c r="D161" s="1" t="s">
        <v>30</v>
      </c>
      <c r="E161" s="1" t="s">
        <v>14</v>
      </c>
      <c r="F161" s="35">
        <v>24147</v>
      </c>
      <c r="G161" s="35"/>
      <c r="H161" s="35"/>
      <c r="I161" s="35"/>
    </row>
    <row r="162" spans="2:13" ht="16" customHeight="1" x14ac:dyDescent="0.4">
      <c r="B162" s="36" t="s">
        <v>8</v>
      </c>
      <c r="C162" s="36"/>
      <c r="D162" s="1" t="s">
        <v>30</v>
      </c>
      <c r="E162" s="1" t="s">
        <v>15</v>
      </c>
      <c r="F162" s="35">
        <v>27393</v>
      </c>
      <c r="G162" s="35"/>
      <c r="H162" s="35"/>
      <c r="I162" s="35"/>
      <c r="J162">
        <f>+SUM(F158:I162)</f>
        <v>57377</v>
      </c>
    </row>
    <row r="163" spans="2:13" ht="16" customHeight="1" x14ac:dyDescent="0.4">
      <c r="B163" s="36" t="s">
        <v>8</v>
      </c>
      <c r="C163" s="36"/>
      <c r="D163" s="1" t="s">
        <v>30</v>
      </c>
      <c r="E163" s="1" t="s">
        <v>16</v>
      </c>
      <c r="F163" s="35">
        <v>569671</v>
      </c>
      <c r="G163" s="35"/>
      <c r="H163" s="35"/>
      <c r="I163" s="35"/>
    </row>
    <row r="164" spans="2:13" ht="16" customHeight="1" x14ac:dyDescent="0.4">
      <c r="B164" s="36" t="s">
        <v>8</v>
      </c>
      <c r="C164" s="36"/>
      <c r="D164" s="1" t="s">
        <v>30</v>
      </c>
      <c r="E164" s="1" t="s">
        <v>17</v>
      </c>
      <c r="F164" s="35">
        <v>155290</v>
      </c>
      <c r="G164" s="35"/>
      <c r="H164" s="35"/>
      <c r="I164" s="35"/>
      <c r="K164" s="3">
        <f>+SUM(F163:I164)</f>
        <v>724961</v>
      </c>
      <c r="L164" s="3">
        <f>+J162+K164</f>
        <v>782338</v>
      </c>
      <c r="M164" s="5">
        <f>+J162/L164</f>
        <v>7.3340423193044443E-2</v>
      </c>
    </row>
    <row r="165" spans="2:13" s="24" customFormat="1" ht="16" customHeight="1" x14ac:dyDescent="0.4">
      <c r="B165" s="37" t="s">
        <v>8</v>
      </c>
      <c r="C165" s="37"/>
      <c r="D165" s="23" t="s">
        <v>31</v>
      </c>
      <c r="E165" s="23" t="s">
        <v>11</v>
      </c>
      <c r="F165" s="39">
        <v>137</v>
      </c>
      <c r="G165" s="39"/>
      <c r="H165" s="39"/>
      <c r="I165" s="39"/>
    </row>
    <row r="166" spans="2:13" s="24" customFormat="1" ht="16" customHeight="1" x14ac:dyDescent="0.4">
      <c r="B166" s="37" t="s">
        <v>8</v>
      </c>
      <c r="C166" s="37"/>
      <c r="D166" s="23" t="s">
        <v>31</v>
      </c>
      <c r="E166" s="23" t="s">
        <v>12</v>
      </c>
      <c r="F166" s="38">
        <v>2630</v>
      </c>
      <c r="G166" s="38"/>
      <c r="H166" s="38"/>
      <c r="I166" s="38"/>
    </row>
    <row r="167" spans="2:13" s="24" customFormat="1" ht="16" customHeight="1" x14ac:dyDescent="0.4">
      <c r="B167" s="37" t="s">
        <v>8</v>
      </c>
      <c r="C167" s="37"/>
      <c r="D167" s="23" t="s">
        <v>31</v>
      </c>
      <c r="E167" s="23" t="s">
        <v>13</v>
      </c>
      <c r="F167" s="38">
        <v>4752</v>
      </c>
      <c r="G167" s="38"/>
      <c r="H167" s="38"/>
      <c r="I167" s="38"/>
    </row>
    <row r="168" spans="2:13" s="24" customFormat="1" ht="16" customHeight="1" x14ac:dyDescent="0.4">
      <c r="B168" s="37" t="s">
        <v>8</v>
      </c>
      <c r="C168" s="37"/>
      <c r="D168" s="23" t="s">
        <v>31</v>
      </c>
      <c r="E168" s="23" t="s">
        <v>14</v>
      </c>
      <c r="F168" s="38">
        <v>32410</v>
      </c>
      <c r="G168" s="38"/>
      <c r="H168" s="38"/>
      <c r="I168" s="38"/>
    </row>
    <row r="169" spans="2:13" s="24" customFormat="1" ht="16" customHeight="1" x14ac:dyDescent="0.4">
      <c r="B169" s="37" t="s">
        <v>8</v>
      </c>
      <c r="C169" s="37"/>
      <c r="D169" s="23" t="s">
        <v>31</v>
      </c>
      <c r="E169" s="23" t="s">
        <v>15</v>
      </c>
      <c r="F169" s="38">
        <v>37857</v>
      </c>
      <c r="G169" s="38"/>
      <c r="H169" s="38"/>
      <c r="I169" s="38"/>
      <c r="J169" s="24">
        <f>+SUM(F165:I169)</f>
        <v>77786</v>
      </c>
    </row>
    <row r="170" spans="2:13" s="24" customFormat="1" ht="16" customHeight="1" x14ac:dyDescent="0.4">
      <c r="B170" s="37" t="s">
        <v>8</v>
      </c>
      <c r="C170" s="37"/>
      <c r="D170" s="23" t="s">
        <v>31</v>
      </c>
      <c r="E170" s="23" t="s">
        <v>16</v>
      </c>
      <c r="F170" s="38">
        <v>827697</v>
      </c>
      <c r="G170" s="38"/>
      <c r="H170" s="38"/>
      <c r="I170" s="38"/>
    </row>
    <row r="171" spans="2:13" s="24" customFormat="1" ht="16" customHeight="1" x14ac:dyDescent="0.4">
      <c r="B171" s="37" t="s">
        <v>8</v>
      </c>
      <c r="C171" s="37"/>
      <c r="D171" s="23" t="s">
        <v>31</v>
      </c>
      <c r="E171" s="23" t="s">
        <v>17</v>
      </c>
      <c r="F171" s="38">
        <v>222429</v>
      </c>
      <c r="G171" s="38"/>
      <c r="H171" s="38"/>
      <c r="I171" s="38"/>
      <c r="K171" s="25">
        <f>+SUM(F170:I171)</f>
        <v>1050126</v>
      </c>
      <c r="L171" s="25">
        <f>+J169+K171</f>
        <v>1127912</v>
      </c>
      <c r="M171" s="26">
        <f>+J169/L171</f>
        <v>6.8964600075183166E-2</v>
      </c>
    </row>
    <row r="172" spans="2:13" ht="16" customHeight="1" x14ac:dyDescent="0.4">
      <c r="B172" s="36" t="s">
        <v>8</v>
      </c>
      <c r="C172" s="36"/>
      <c r="D172" s="1" t="s">
        <v>32</v>
      </c>
      <c r="E172" s="1" t="s">
        <v>11</v>
      </c>
      <c r="F172" s="34">
        <v>81</v>
      </c>
      <c r="G172" s="34"/>
      <c r="H172" s="34"/>
      <c r="I172" s="34"/>
    </row>
    <row r="173" spans="2:13" ht="16" customHeight="1" x14ac:dyDescent="0.4">
      <c r="B173" s="36" t="s">
        <v>8</v>
      </c>
      <c r="C173" s="36"/>
      <c r="D173" s="1" t="s">
        <v>32</v>
      </c>
      <c r="E173" s="1" t="s">
        <v>12</v>
      </c>
      <c r="F173" s="35">
        <v>1761</v>
      </c>
      <c r="G173" s="35"/>
      <c r="H173" s="35"/>
      <c r="I173" s="35"/>
    </row>
    <row r="174" spans="2:13" ht="16" customHeight="1" x14ac:dyDescent="0.4">
      <c r="B174" s="36" t="s">
        <v>8</v>
      </c>
      <c r="C174" s="36"/>
      <c r="D174" s="1" t="s">
        <v>32</v>
      </c>
      <c r="E174" s="1" t="s">
        <v>13</v>
      </c>
      <c r="F174" s="35">
        <v>3154</v>
      </c>
      <c r="G174" s="35"/>
      <c r="H174" s="35"/>
      <c r="I174" s="35"/>
    </row>
    <row r="175" spans="2:13" ht="16" customHeight="1" x14ac:dyDescent="0.4">
      <c r="B175" s="36" t="s">
        <v>8</v>
      </c>
      <c r="C175" s="36"/>
      <c r="D175" s="1" t="s">
        <v>32</v>
      </c>
      <c r="E175" s="1" t="s">
        <v>14</v>
      </c>
      <c r="F175" s="35">
        <v>19716</v>
      </c>
      <c r="G175" s="35"/>
      <c r="H175" s="35"/>
      <c r="I175" s="35"/>
    </row>
    <row r="176" spans="2:13" ht="16" customHeight="1" x14ac:dyDescent="0.4">
      <c r="B176" s="36" t="s">
        <v>8</v>
      </c>
      <c r="C176" s="36"/>
      <c r="D176" s="1" t="s">
        <v>32</v>
      </c>
      <c r="E176" s="1" t="s">
        <v>15</v>
      </c>
      <c r="F176" s="35">
        <v>22283</v>
      </c>
      <c r="G176" s="35"/>
      <c r="H176" s="35"/>
      <c r="I176" s="35"/>
      <c r="J176">
        <f>+SUM(F172:I176)</f>
        <v>46995</v>
      </c>
    </row>
    <row r="177" spans="2:13" ht="16" customHeight="1" x14ac:dyDescent="0.4">
      <c r="B177" s="36" t="s">
        <v>8</v>
      </c>
      <c r="C177" s="36"/>
      <c r="D177" s="1" t="s">
        <v>32</v>
      </c>
      <c r="E177" s="1" t="s">
        <v>16</v>
      </c>
      <c r="F177" s="35">
        <v>471715</v>
      </c>
      <c r="G177" s="35"/>
      <c r="H177" s="35"/>
      <c r="I177" s="35"/>
    </row>
    <row r="178" spans="2:13" ht="16" customHeight="1" x14ac:dyDescent="0.4">
      <c r="B178" s="36" t="s">
        <v>8</v>
      </c>
      <c r="C178" s="36"/>
      <c r="D178" s="1" t="s">
        <v>32</v>
      </c>
      <c r="E178" s="1" t="s">
        <v>17</v>
      </c>
      <c r="F178" s="35">
        <v>117258</v>
      </c>
      <c r="G178" s="35"/>
      <c r="H178" s="35"/>
      <c r="I178" s="35"/>
      <c r="K178" s="3">
        <f>+SUM(F177:I178)</f>
        <v>588973</v>
      </c>
      <c r="L178" s="3">
        <f>+J176+K178</f>
        <v>635968</v>
      </c>
      <c r="M178" s="5">
        <f>+J176/L178</f>
        <v>7.389522743282681E-2</v>
      </c>
    </row>
    <row r="179" spans="2:13" s="24" customFormat="1" ht="16" customHeight="1" x14ac:dyDescent="0.4">
      <c r="B179" s="37" t="s">
        <v>8</v>
      </c>
      <c r="C179" s="37"/>
      <c r="D179" s="23" t="s">
        <v>33</v>
      </c>
      <c r="E179" s="23" t="s">
        <v>11</v>
      </c>
      <c r="F179" s="39">
        <v>52</v>
      </c>
      <c r="G179" s="39"/>
      <c r="H179" s="39"/>
      <c r="I179" s="39"/>
    </row>
    <row r="180" spans="2:13" s="24" customFormat="1" ht="16" customHeight="1" x14ac:dyDescent="0.4">
      <c r="B180" s="37" t="s">
        <v>8</v>
      </c>
      <c r="C180" s="37"/>
      <c r="D180" s="23" t="s">
        <v>33</v>
      </c>
      <c r="E180" s="23" t="s">
        <v>12</v>
      </c>
      <c r="F180" s="38">
        <v>1217</v>
      </c>
      <c r="G180" s="38"/>
      <c r="H180" s="38"/>
      <c r="I180" s="38"/>
    </row>
    <row r="181" spans="2:13" s="24" customFormat="1" ht="16" customHeight="1" x14ac:dyDescent="0.4">
      <c r="B181" s="37" t="s">
        <v>8</v>
      </c>
      <c r="C181" s="37"/>
      <c r="D181" s="23" t="s">
        <v>33</v>
      </c>
      <c r="E181" s="23" t="s">
        <v>13</v>
      </c>
      <c r="F181" s="38">
        <v>2202</v>
      </c>
      <c r="G181" s="38"/>
      <c r="H181" s="38"/>
      <c r="I181" s="38"/>
    </row>
    <row r="182" spans="2:13" s="24" customFormat="1" ht="16" customHeight="1" x14ac:dyDescent="0.4">
      <c r="B182" s="37" t="s">
        <v>8</v>
      </c>
      <c r="C182" s="37"/>
      <c r="D182" s="23" t="s">
        <v>33</v>
      </c>
      <c r="E182" s="23" t="s">
        <v>14</v>
      </c>
      <c r="F182" s="38">
        <v>13634</v>
      </c>
      <c r="G182" s="38"/>
      <c r="H182" s="38"/>
      <c r="I182" s="38"/>
    </row>
    <row r="183" spans="2:13" s="24" customFormat="1" ht="16" customHeight="1" x14ac:dyDescent="0.4">
      <c r="B183" s="37" t="s">
        <v>8</v>
      </c>
      <c r="C183" s="37"/>
      <c r="D183" s="23" t="s">
        <v>33</v>
      </c>
      <c r="E183" s="23" t="s">
        <v>15</v>
      </c>
      <c r="F183" s="38">
        <v>14611</v>
      </c>
      <c r="G183" s="38"/>
      <c r="H183" s="38"/>
      <c r="I183" s="38"/>
      <c r="J183" s="24">
        <f>+SUM(F179:I183)</f>
        <v>31716</v>
      </c>
    </row>
    <row r="184" spans="2:13" s="24" customFormat="1" ht="16" customHeight="1" x14ac:dyDescent="0.4">
      <c r="B184" s="37" t="s">
        <v>8</v>
      </c>
      <c r="C184" s="37"/>
      <c r="D184" s="23" t="s">
        <v>33</v>
      </c>
      <c r="E184" s="23" t="s">
        <v>16</v>
      </c>
      <c r="F184" s="38">
        <v>307440</v>
      </c>
      <c r="G184" s="38"/>
      <c r="H184" s="38"/>
      <c r="I184" s="38"/>
    </row>
    <row r="185" spans="2:13" s="24" customFormat="1" ht="16" customHeight="1" x14ac:dyDescent="0.4">
      <c r="B185" s="37" t="s">
        <v>8</v>
      </c>
      <c r="C185" s="37"/>
      <c r="D185" s="23" t="s">
        <v>33</v>
      </c>
      <c r="E185" s="23" t="s">
        <v>17</v>
      </c>
      <c r="F185" s="38">
        <v>74019</v>
      </c>
      <c r="G185" s="38"/>
      <c r="H185" s="38"/>
      <c r="I185" s="38"/>
      <c r="K185" s="25">
        <f>+SUM(F184:I185)</f>
        <v>381459</v>
      </c>
      <c r="L185" s="25">
        <f>+J183+K185</f>
        <v>413175</v>
      </c>
      <c r="M185" s="26">
        <f>+J183/L185</f>
        <v>7.6761662733708477E-2</v>
      </c>
    </row>
    <row r="186" spans="2:13" ht="16" customHeight="1" x14ac:dyDescent="0.4">
      <c r="B186" s="36" t="s">
        <v>8</v>
      </c>
      <c r="C186" s="36"/>
      <c r="D186" s="1" t="s">
        <v>34</v>
      </c>
      <c r="E186" s="1" t="s">
        <v>11</v>
      </c>
      <c r="F186" s="34">
        <v>39</v>
      </c>
      <c r="G186" s="34"/>
      <c r="H186" s="34"/>
      <c r="I186" s="34"/>
    </row>
    <row r="187" spans="2:13" ht="16" customHeight="1" x14ac:dyDescent="0.4">
      <c r="B187" s="36" t="s">
        <v>8</v>
      </c>
      <c r="C187" s="36"/>
      <c r="D187" s="1" t="s">
        <v>34</v>
      </c>
      <c r="E187" s="1" t="s">
        <v>12</v>
      </c>
      <c r="F187" s="34">
        <v>880</v>
      </c>
      <c r="G187" s="34"/>
      <c r="H187" s="34"/>
      <c r="I187" s="34"/>
    </row>
    <row r="188" spans="2:13" ht="16" customHeight="1" x14ac:dyDescent="0.4">
      <c r="B188" s="36" t="s">
        <v>8</v>
      </c>
      <c r="C188" s="36"/>
      <c r="D188" s="1" t="s">
        <v>34</v>
      </c>
      <c r="E188" s="1" t="s">
        <v>13</v>
      </c>
      <c r="F188" s="35">
        <v>1530</v>
      </c>
      <c r="G188" s="35"/>
      <c r="H188" s="35"/>
      <c r="I188" s="35"/>
    </row>
    <row r="189" spans="2:13" ht="16" customHeight="1" x14ac:dyDescent="0.4">
      <c r="B189" s="36" t="s">
        <v>8</v>
      </c>
      <c r="C189" s="36"/>
      <c r="D189" s="1" t="s">
        <v>34</v>
      </c>
      <c r="E189" s="1" t="s">
        <v>14</v>
      </c>
      <c r="F189" s="35">
        <v>9227</v>
      </c>
      <c r="G189" s="35"/>
      <c r="H189" s="35"/>
      <c r="I189" s="35"/>
    </row>
    <row r="190" spans="2:13" ht="16" customHeight="1" x14ac:dyDescent="0.4">
      <c r="B190" s="36" t="s">
        <v>8</v>
      </c>
      <c r="C190" s="36"/>
      <c r="D190" s="1" t="s">
        <v>34</v>
      </c>
      <c r="E190" s="1" t="s">
        <v>15</v>
      </c>
      <c r="F190" s="35">
        <v>9982</v>
      </c>
      <c r="G190" s="35"/>
      <c r="H190" s="35"/>
      <c r="I190" s="35"/>
      <c r="J190">
        <f>+SUM(F186:I190)</f>
        <v>21658</v>
      </c>
    </row>
    <row r="191" spans="2:13" ht="16" customHeight="1" x14ac:dyDescent="0.4">
      <c r="B191" s="36" t="s">
        <v>8</v>
      </c>
      <c r="C191" s="36"/>
      <c r="D191" s="1" t="s">
        <v>34</v>
      </c>
      <c r="E191" s="1" t="s">
        <v>16</v>
      </c>
      <c r="F191" s="35">
        <v>200731</v>
      </c>
      <c r="G191" s="35"/>
      <c r="H191" s="35"/>
      <c r="I191" s="35"/>
    </row>
    <row r="192" spans="2:13" ht="16" customHeight="1" x14ac:dyDescent="0.4">
      <c r="B192" s="36" t="s">
        <v>8</v>
      </c>
      <c r="C192" s="36"/>
      <c r="D192" s="1" t="s">
        <v>34</v>
      </c>
      <c r="E192" s="1" t="s">
        <v>17</v>
      </c>
      <c r="F192" s="35">
        <v>49464</v>
      </c>
      <c r="G192" s="35"/>
      <c r="H192" s="35"/>
      <c r="I192" s="35"/>
      <c r="K192" s="3">
        <f>+SUM(F191:I192)</f>
        <v>250195</v>
      </c>
      <c r="L192" s="3">
        <f>+J190+K192</f>
        <v>271853</v>
      </c>
      <c r="M192" s="5">
        <f>+J190/L192</f>
        <v>7.9668055897856568E-2</v>
      </c>
    </row>
    <row r="193" spans="2:13" s="24" customFormat="1" ht="16" customHeight="1" x14ac:dyDescent="0.4">
      <c r="B193" s="37" t="s">
        <v>8</v>
      </c>
      <c r="C193" s="37"/>
      <c r="D193" s="23" t="s">
        <v>35</v>
      </c>
      <c r="E193" s="23" t="s">
        <v>11</v>
      </c>
      <c r="F193" s="39">
        <v>96</v>
      </c>
      <c r="G193" s="39"/>
      <c r="H193" s="39"/>
      <c r="I193" s="39"/>
    </row>
    <row r="194" spans="2:13" s="24" customFormat="1" ht="16" customHeight="1" x14ac:dyDescent="0.4">
      <c r="B194" s="37" t="s">
        <v>8</v>
      </c>
      <c r="C194" s="37"/>
      <c r="D194" s="23" t="s">
        <v>35</v>
      </c>
      <c r="E194" s="23" t="s">
        <v>12</v>
      </c>
      <c r="F194" s="38">
        <v>1827</v>
      </c>
      <c r="G194" s="38"/>
      <c r="H194" s="38"/>
      <c r="I194" s="38"/>
    </row>
    <row r="195" spans="2:13" s="24" customFormat="1" ht="16" customHeight="1" x14ac:dyDescent="0.4">
      <c r="B195" s="37" t="s">
        <v>8</v>
      </c>
      <c r="C195" s="37"/>
      <c r="D195" s="23" t="s">
        <v>35</v>
      </c>
      <c r="E195" s="23" t="s">
        <v>13</v>
      </c>
      <c r="F195" s="38">
        <v>3008</v>
      </c>
      <c r="G195" s="38"/>
      <c r="H195" s="38"/>
      <c r="I195" s="38"/>
    </row>
    <row r="196" spans="2:13" s="24" customFormat="1" ht="16" customHeight="1" x14ac:dyDescent="0.4">
      <c r="B196" s="37" t="s">
        <v>8</v>
      </c>
      <c r="C196" s="37"/>
      <c r="D196" s="23" t="s">
        <v>35</v>
      </c>
      <c r="E196" s="23" t="s">
        <v>14</v>
      </c>
      <c r="F196" s="38">
        <v>16886</v>
      </c>
      <c r="G196" s="38"/>
      <c r="H196" s="38"/>
      <c r="I196" s="38"/>
    </row>
    <row r="197" spans="2:13" s="24" customFormat="1" ht="16" customHeight="1" x14ac:dyDescent="0.4">
      <c r="B197" s="37" t="s">
        <v>8</v>
      </c>
      <c r="C197" s="37"/>
      <c r="D197" s="23" t="s">
        <v>35</v>
      </c>
      <c r="E197" s="23" t="s">
        <v>15</v>
      </c>
      <c r="F197" s="38">
        <v>17546</v>
      </c>
      <c r="G197" s="38"/>
      <c r="H197" s="38"/>
      <c r="I197" s="38"/>
      <c r="J197" s="24">
        <f>+SUM(F193:I197)</f>
        <v>39363</v>
      </c>
    </row>
    <row r="198" spans="2:13" s="24" customFormat="1" ht="16" customHeight="1" x14ac:dyDescent="0.4">
      <c r="B198" s="37" t="s">
        <v>8</v>
      </c>
      <c r="C198" s="37"/>
      <c r="D198" s="23" t="s">
        <v>35</v>
      </c>
      <c r="E198" s="23" t="s">
        <v>16</v>
      </c>
      <c r="F198" s="38">
        <v>339288</v>
      </c>
      <c r="G198" s="38"/>
      <c r="H198" s="38"/>
      <c r="I198" s="38"/>
    </row>
    <row r="199" spans="2:13" s="24" customFormat="1" ht="16" customHeight="1" x14ac:dyDescent="0.4">
      <c r="B199" s="37" t="s">
        <v>8</v>
      </c>
      <c r="C199" s="37"/>
      <c r="D199" s="23" t="s">
        <v>35</v>
      </c>
      <c r="E199" s="23" t="s">
        <v>17</v>
      </c>
      <c r="F199" s="38">
        <v>86932</v>
      </c>
      <c r="G199" s="38"/>
      <c r="H199" s="38"/>
      <c r="I199" s="38"/>
      <c r="K199" s="25">
        <f>+SUM(F198:I199)</f>
        <v>426220</v>
      </c>
      <c r="L199" s="25">
        <f>+J197+K199</f>
        <v>465583</v>
      </c>
      <c r="M199" s="26">
        <f>+J197/L199</f>
        <v>8.4545612704931231E-2</v>
      </c>
    </row>
    <row r="200" spans="2:13" ht="16" customHeight="1" x14ac:dyDescent="0.4">
      <c r="B200" s="36" t="s">
        <v>8</v>
      </c>
      <c r="C200" s="36"/>
      <c r="D200" s="1" t="s">
        <v>36</v>
      </c>
      <c r="E200" s="1" t="s">
        <v>11</v>
      </c>
      <c r="F200" s="34">
        <v>725</v>
      </c>
      <c r="G200" s="34"/>
      <c r="H200" s="34"/>
      <c r="I200" s="34"/>
    </row>
    <row r="201" spans="2:13" ht="16" customHeight="1" x14ac:dyDescent="0.4">
      <c r="B201" s="36" t="s">
        <v>8</v>
      </c>
      <c r="C201" s="36"/>
      <c r="D201" s="1" t="s">
        <v>36</v>
      </c>
      <c r="E201" s="1" t="s">
        <v>12</v>
      </c>
      <c r="F201" s="35">
        <v>16649</v>
      </c>
      <c r="G201" s="35"/>
      <c r="H201" s="35"/>
      <c r="I201" s="35"/>
    </row>
    <row r="202" spans="2:13" ht="16" customHeight="1" x14ac:dyDescent="0.4">
      <c r="B202" s="36" t="s">
        <v>8</v>
      </c>
      <c r="C202" s="36"/>
      <c r="D202" s="1" t="s">
        <v>36</v>
      </c>
      <c r="E202" s="1" t="s">
        <v>13</v>
      </c>
      <c r="F202" s="35">
        <v>24522</v>
      </c>
      <c r="G202" s="35"/>
      <c r="H202" s="35"/>
      <c r="I202" s="35"/>
    </row>
    <row r="203" spans="2:13" ht="16" customHeight="1" x14ac:dyDescent="0.4">
      <c r="B203" s="36" t="s">
        <v>8</v>
      </c>
      <c r="C203" s="36"/>
      <c r="D203" s="1" t="s">
        <v>36</v>
      </c>
      <c r="E203" s="1" t="s">
        <v>14</v>
      </c>
      <c r="F203" s="35">
        <v>124007</v>
      </c>
      <c r="G203" s="35"/>
      <c r="H203" s="35"/>
      <c r="I203" s="35"/>
    </row>
    <row r="204" spans="2:13" ht="16" customHeight="1" x14ac:dyDescent="0.4">
      <c r="B204" s="36" t="s">
        <v>8</v>
      </c>
      <c r="C204" s="36"/>
      <c r="D204" s="1" t="s">
        <v>36</v>
      </c>
      <c r="E204" s="1" t="s">
        <v>15</v>
      </c>
      <c r="F204" s="35">
        <v>114489</v>
      </c>
      <c r="G204" s="35"/>
      <c r="H204" s="35"/>
      <c r="I204" s="35"/>
      <c r="J204">
        <f>+SUM(F200:I204)</f>
        <v>280392</v>
      </c>
    </row>
    <row r="205" spans="2:13" ht="16" customHeight="1" x14ac:dyDescent="0.4">
      <c r="B205" s="36" t="s">
        <v>8</v>
      </c>
      <c r="C205" s="36"/>
      <c r="D205" s="1" t="s">
        <v>36</v>
      </c>
      <c r="E205" s="1" t="s">
        <v>16</v>
      </c>
      <c r="F205" s="35">
        <v>2127658</v>
      </c>
      <c r="G205" s="35"/>
      <c r="H205" s="35"/>
      <c r="I205" s="35"/>
    </row>
    <row r="206" spans="2:13" ht="16" customHeight="1" x14ac:dyDescent="0.4">
      <c r="B206" s="36" t="s">
        <v>8</v>
      </c>
      <c r="C206" s="36"/>
      <c r="D206" s="1" t="s">
        <v>36</v>
      </c>
      <c r="E206" s="1" t="s">
        <v>17</v>
      </c>
      <c r="F206" s="35">
        <v>943717</v>
      </c>
      <c r="G206" s="35"/>
      <c r="H206" s="35"/>
      <c r="I206" s="35"/>
      <c r="K206" s="3">
        <f>+SUM(F205:I206)</f>
        <v>3071375</v>
      </c>
      <c r="L206" s="3">
        <f>+J204+K206</f>
        <v>3351767</v>
      </c>
      <c r="M206" s="5">
        <f>+J204/L206</f>
        <v>8.3654979597328816E-2</v>
      </c>
    </row>
  </sheetData>
  <mergeCells count="406">
    <mergeCell ref="B206:C206"/>
    <mergeCell ref="F206:I206"/>
    <mergeCell ref="B203:C203"/>
    <mergeCell ref="F203:I203"/>
    <mergeCell ref="B204:C204"/>
    <mergeCell ref="F204:I204"/>
    <mergeCell ref="B205:C205"/>
    <mergeCell ref="F205:I205"/>
    <mergeCell ref="B200:C200"/>
    <mergeCell ref="F200:I200"/>
    <mergeCell ref="B201:C201"/>
    <mergeCell ref="F201:I201"/>
    <mergeCell ref="B202:C202"/>
    <mergeCell ref="F202:I202"/>
    <mergeCell ref="B197:C197"/>
    <mergeCell ref="F197:I197"/>
    <mergeCell ref="B198:C198"/>
    <mergeCell ref="F198:I198"/>
    <mergeCell ref="B199:C199"/>
    <mergeCell ref="F199:I199"/>
    <mergeCell ref="B194:C194"/>
    <mergeCell ref="F194:I194"/>
    <mergeCell ref="B195:C195"/>
    <mergeCell ref="F195:I195"/>
    <mergeCell ref="B196:C196"/>
    <mergeCell ref="F196:I196"/>
    <mergeCell ref="B191:C191"/>
    <mergeCell ref="F191:I191"/>
    <mergeCell ref="B192:C192"/>
    <mergeCell ref="F192:I192"/>
    <mergeCell ref="B193:C193"/>
    <mergeCell ref="F193:I193"/>
    <mergeCell ref="B188:C188"/>
    <mergeCell ref="F188:I188"/>
    <mergeCell ref="B189:C189"/>
    <mergeCell ref="F189:I189"/>
    <mergeCell ref="B190:C190"/>
    <mergeCell ref="F190:I190"/>
    <mergeCell ref="B185:C185"/>
    <mergeCell ref="F185:I185"/>
    <mergeCell ref="B186:C186"/>
    <mergeCell ref="F186:I186"/>
    <mergeCell ref="B187:C187"/>
    <mergeCell ref="F187:I187"/>
    <mergeCell ref="B182:C182"/>
    <mergeCell ref="F182:I182"/>
    <mergeCell ref="B183:C183"/>
    <mergeCell ref="F183:I183"/>
    <mergeCell ref="B184:C184"/>
    <mergeCell ref="F184:I184"/>
    <mergeCell ref="B179:C179"/>
    <mergeCell ref="F179:I179"/>
    <mergeCell ref="B180:C180"/>
    <mergeCell ref="F180:I180"/>
    <mergeCell ref="B181:C181"/>
    <mergeCell ref="F181:I181"/>
    <mergeCell ref="B176:C176"/>
    <mergeCell ref="F176:I176"/>
    <mergeCell ref="B177:C177"/>
    <mergeCell ref="F177:I177"/>
    <mergeCell ref="B178:C178"/>
    <mergeCell ref="F178:I178"/>
    <mergeCell ref="B173:C173"/>
    <mergeCell ref="F173:I173"/>
    <mergeCell ref="B174:C174"/>
    <mergeCell ref="F174:I174"/>
    <mergeCell ref="B175:C175"/>
    <mergeCell ref="F175:I175"/>
    <mergeCell ref="B170:C170"/>
    <mergeCell ref="F170:I170"/>
    <mergeCell ref="B171:C171"/>
    <mergeCell ref="F171:I171"/>
    <mergeCell ref="B172:C172"/>
    <mergeCell ref="F172:I172"/>
    <mergeCell ref="B167:C167"/>
    <mergeCell ref="F167:I167"/>
    <mergeCell ref="B168:C168"/>
    <mergeCell ref="F168:I168"/>
    <mergeCell ref="B169:C169"/>
    <mergeCell ref="F169:I169"/>
    <mergeCell ref="B164:C164"/>
    <mergeCell ref="F164:I164"/>
    <mergeCell ref="B165:C165"/>
    <mergeCell ref="F165:I165"/>
    <mergeCell ref="B166:C166"/>
    <mergeCell ref="F166:I166"/>
    <mergeCell ref="B161:C161"/>
    <mergeCell ref="F161:I161"/>
    <mergeCell ref="B162:C162"/>
    <mergeCell ref="F162:I162"/>
    <mergeCell ref="B163:C163"/>
    <mergeCell ref="F163:I163"/>
    <mergeCell ref="B158:C158"/>
    <mergeCell ref="F158:I158"/>
    <mergeCell ref="B159:C159"/>
    <mergeCell ref="F159:I159"/>
    <mergeCell ref="B160:C160"/>
    <mergeCell ref="F160:I160"/>
    <mergeCell ref="B155:C155"/>
    <mergeCell ref="F155:I155"/>
    <mergeCell ref="B156:C156"/>
    <mergeCell ref="F156:I156"/>
    <mergeCell ref="B157:C157"/>
    <mergeCell ref="F157:I157"/>
    <mergeCell ref="B152:C152"/>
    <mergeCell ref="F152:I152"/>
    <mergeCell ref="B153:C153"/>
    <mergeCell ref="F153:I153"/>
    <mergeCell ref="B154:C154"/>
    <mergeCell ref="F154:I154"/>
    <mergeCell ref="B149:C149"/>
    <mergeCell ref="F149:I149"/>
    <mergeCell ref="B150:C150"/>
    <mergeCell ref="F150:I150"/>
    <mergeCell ref="B151:C151"/>
    <mergeCell ref="F151:I151"/>
    <mergeCell ref="B146:C146"/>
    <mergeCell ref="F146:I146"/>
    <mergeCell ref="B147:C147"/>
    <mergeCell ref="F147:I147"/>
    <mergeCell ref="B148:C148"/>
    <mergeCell ref="F148:I148"/>
    <mergeCell ref="B143:C143"/>
    <mergeCell ref="F143:I143"/>
    <mergeCell ref="B144:C144"/>
    <mergeCell ref="F144:I144"/>
    <mergeCell ref="B145:C145"/>
    <mergeCell ref="F145:I145"/>
    <mergeCell ref="B140:C140"/>
    <mergeCell ref="F140:I140"/>
    <mergeCell ref="B141:C141"/>
    <mergeCell ref="F141:I141"/>
    <mergeCell ref="B142:C142"/>
    <mergeCell ref="F142:I142"/>
    <mergeCell ref="B137:C137"/>
    <mergeCell ref="F137:I137"/>
    <mergeCell ref="B138:C138"/>
    <mergeCell ref="F138:I138"/>
    <mergeCell ref="B139:C139"/>
    <mergeCell ref="F139:I139"/>
    <mergeCell ref="B135:C135"/>
    <mergeCell ref="F135:I135"/>
    <mergeCell ref="B136:C136"/>
    <mergeCell ref="F136:I136"/>
    <mergeCell ref="B132:C132"/>
    <mergeCell ref="F132:I132"/>
    <mergeCell ref="B133:C133"/>
    <mergeCell ref="F133:I133"/>
    <mergeCell ref="B134:C134"/>
    <mergeCell ref="F134:I134"/>
    <mergeCell ref="B129:C129"/>
    <mergeCell ref="F129:I129"/>
    <mergeCell ref="B130:C130"/>
    <mergeCell ref="F130:I130"/>
    <mergeCell ref="B131:C131"/>
    <mergeCell ref="F131:I131"/>
    <mergeCell ref="B126:C126"/>
    <mergeCell ref="F126:I126"/>
    <mergeCell ref="B127:C127"/>
    <mergeCell ref="F127:I127"/>
    <mergeCell ref="B128:C128"/>
    <mergeCell ref="F128:I128"/>
    <mergeCell ref="B123:C123"/>
    <mergeCell ref="F123:I123"/>
    <mergeCell ref="B124:C124"/>
    <mergeCell ref="F124:I124"/>
    <mergeCell ref="B125:C125"/>
    <mergeCell ref="F125:I125"/>
    <mergeCell ref="B120:C120"/>
    <mergeCell ref="F120:I120"/>
    <mergeCell ref="B121:C121"/>
    <mergeCell ref="F121:I121"/>
    <mergeCell ref="B122:C122"/>
    <mergeCell ref="F122:I122"/>
    <mergeCell ref="B117:C117"/>
    <mergeCell ref="F117:I117"/>
    <mergeCell ref="B118:C118"/>
    <mergeCell ref="F118:I118"/>
    <mergeCell ref="B119:C119"/>
    <mergeCell ref="F119:I119"/>
    <mergeCell ref="B114:C114"/>
    <mergeCell ref="F114:I114"/>
    <mergeCell ref="B115:C115"/>
    <mergeCell ref="F115:I115"/>
    <mergeCell ref="B116:C116"/>
    <mergeCell ref="F116:I116"/>
    <mergeCell ref="B111:C111"/>
    <mergeCell ref="F111:I111"/>
    <mergeCell ref="B112:C112"/>
    <mergeCell ref="F112:I112"/>
    <mergeCell ref="B113:C113"/>
    <mergeCell ref="F113:I113"/>
    <mergeCell ref="B108:C108"/>
    <mergeCell ref="F108:I108"/>
    <mergeCell ref="B109:C109"/>
    <mergeCell ref="F109:I109"/>
    <mergeCell ref="B110:C110"/>
    <mergeCell ref="F110:I110"/>
    <mergeCell ref="B105:C105"/>
    <mergeCell ref="F105:I105"/>
    <mergeCell ref="B106:C106"/>
    <mergeCell ref="F106:I106"/>
    <mergeCell ref="B107:C107"/>
    <mergeCell ref="F107:I107"/>
    <mergeCell ref="B102:C102"/>
    <mergeCell ref="F102:I102"/>
    <mergeCell ref="B103:C103"/>
    <mergeCell ref="F103:I103"/>
    <mergeCell ref="B104:C104"/>
    <mergeCell ref="F104:I104"/>
    <mergeCell ref="B99:C99"/>
    <mergeCell ref="F99:I99"/>
    <mergeCell ref="B100:C100"/>
    <mergeCell ref="F100:I100"/>
    <mergeCell ref="B101:C101"/>
    <mergeCell ref="F101:I101"/>
    <mergeCell ref="B96:C96"/>
    <mergeCell ref="F96:I96"/>
    <mergeCell ref="B97:C97"/>
    <mergeCell ref="F97:I97"/>
    <mergeCell ref="B98:C98"/>
    <mergeCell ref="F98:I98"/>
    <mergeCell ref="B93:C93"/>
    <mergeCell ref="F93:I93"/>
    <mergeCell ref="B94:C94"/>
    <mergeCell ref="F94:I94"/>
    <mergeCell ref="B95:C95"/>
    <mergeCell ref="F95:I95"/>
    <mergeCell ref="B90:C90"/>
    <mergeCell ref="F90:I90"/>
    <mergeCell ref="B91:C91"/>
    <mergeCell ref="F91:I91"/>
    <mergeCell ref="B92:C92"/>
    <mergeCell ref="F92:I92"/>
    <mergeCell ref="B87:C87"/>
    <mergeCell ref="F87:I87"/>
    <mergeCell ref="B88:C88"/>
    <mergeCell ref="F88:I88"/>
    <mergeCell ref="B89:C89"/>
    <mergeCell ref="F89:I89"/>
    <mergeCell ref="B84:C84"/>
    <mergeCell ref="F84:I84"/>
    <mergeCell ref="B85:C85"/>
    <mergeCell ref="F85:I85"/>
    <mergeCell ref="B86:C86"/>
    <mergeCell ref="F86:I86"/>
    <mergeCell ref="B81:C81"/>
    <mergeCell ref="F81:I81"/>
    <mergeCell ref="B82:C82"/>
    <mergeCell ref="F82:I82"/>
    <mergeCell ref="B83:C83"/>
    <mergeCell ref="F83:I83"/>
    <mergeCell ref="B78:C78"/>
    <mergeCell ref="F78:I78"/>
    <mergeCell ref="B79:C79"/>
    <mergeCell ref="F79:I79"/>
    <mergeCell ref="B80:C80"/>
    <mergeCell ref="F80:I80"/>
    <mergeCell ref="B75:C75"/>
    <mergeCell ref="F75:I75"/>
    <mergeCell ref="B76:C76"/>
    <mergeCell ref="F76:I76"/>
    <mergeCell ref="B77:C77"/>
    <mergeCell ref="F77:I77"/>
    <mergeCell ref="B72:C72"/>
    <mergeCell ref="F72:I72"/>
    <mergeCell ref="B73:C73"/>
    <mergeCell ref="F73:I73"/>
    <mergeCell ref="B74:C74"/>
    <mergeCell ref="F74:I74"/>
    <mergeCell ref="B69:C69"/>
    <mergeCell ref="F69:I69"/>
    <mergeCell ref="B70:C70"/>
    <mergeCell ref="F70:I70"/>
    <mergeCell ref="B71:C71"/>
    <mergeCell ref="F71:I71"/>
    <mergeCell ref="B67:C67"/>
    <mergeCell ref="F67:I67"/>
    <mergeCell ref="B68:C68"/>
    <mergeCell ref="F68:I68"/>
    <mergeCell ref="B64:C64"/>
    <mergeCell ref="F64:I64"/>
    <mergeCell ref="B65:C65"/>
    <mergeCell ref="F65:I65"/>
    <mergeCell ref="B66:C66"/>
    <mergeCell ref="F66:I66"/>
    <mergeCell ref="B61:C61"/>
    <mergeCell ref="F61:I61"/>
    <mergeCell ref="B62:C62"/>
    <mergeCell ref="F62:I62"/>
    <mergeCell ref="B63:C63"/>
    <mergeCell ref="F63:I63"/>
    <mergeCell ref="B58:C58"/>
    <mergeCell ref="F58:I58"/>
    <mergeCell ref="B59:C59"/>
    <mergeCell ref="F59:I59"/>
    <mergeCell ref="B60:C60"/>
    <mergeCell ref="F60:I60"/>
    <mergeCell ref="B55:C55"/>
    <mergeCell ref="F55:I55"/>
    <mergeCell ref="B56:C56"/>
    <mergeCell ref="F56:I56"/>
    <mergeCell ref="B57:C57"/>
    <mergeCell ref="F57:I57"/>
    <mergeCell ref="B52:C52"/>
    <mergeCell ref="F52:I52"/>
    <mergeCell ref="B53:C53"/>
    <mergeCell ref="F53:I53"/>
    <mergeCell ref="B54:C54"/>
    <mergeCell ref="F54:I54"/>
    <mergeCell ref="B49:C49"/>
    <mergeCell ref="F49:I49"/>
    <mergeCell ref="B50:C50"/>
    <mergeCell ref="F50:I50"/>
    <mergeCell ref="B51:C51"/>
    <mergeCell ref="F51:I51"/>
    <mergeCell ref="B46:C46"/>
    <mergeCell ref="F46:I46"/>
    <mergeCell ref="B47:C47"/>
    <mergeCell ref="F47:I47"/>
    <mergeCell ref="B48:C48"/>
    <mergeCell ref="F48:I48"/>
    <mergeCell ref="B43:C43"/>
    <mergeCell ref="F43:I43"/>
    <mergeCell ref="B44:C44"/>
    <mergeCell ref="F44:I44"/>
    <mergeCell ref="B45:C45"/>
    <mergeCell ref="F45:I45"/>
    <mergeCell ref="B40:C40"/>
    <mergeCell ref="F40:I40"/>
    <mergeCell ref="B41:C41"/>
    <mergeCell ref="F41:I41"/>
    <mergeCell ref="B42:C42"/>
    <mergeCell ref="F42:I42"/>
    <mergeCell ref="B37:C37"/>
    <mergeCell ref="F37:I37"/>
    <mergeCell ref="B38:C38"/>
    <mergeCell ref="F38:I38"/>
    <mergeCell ref="B39:C39"/>
    <mergeCell ref="F39:I39"/>
    <mergeCell ref="B34:C34"/>
    <mergeCell ref="F34:I34"/>
    <mergeCell ref="B35:C35"/>
    <mergeCell ref="F35:I35"/>
    <mergeCell ref="B36:C36"/>
    <mergeCell ref="F36:I36"/>
    <mergeCell ref="B31:C31"/>
    <mergeCell ref="F31:I31"/>
    <mergeCell ref="B32:C32"/>
    <mergeCell ref="F32:I32"/>
    <mergeCell ref="B33:C33"/>
    <mergeCell ref="F33:I33"/>
    <mergeCell ref="B28:C28"/>
    <mergeCell ref="F28:I28"/>
    <mergeCell ref="B29:C29"/>
    <mergeCell ref="F29:I29"/>
    <mergeCell ref="B30:C30"/>
    <mergeCell ref="F30:I30"/>
    <mergeCell ref="B25:C25"/>
    <mergeCell ref="F25:I25"/>
    <mergeCell ref="B26:C26"/>
    <mergeCell ref="F26:I26"/>
    <mergeCell ref="B27:C27"/>
    <mergeCell ref="F27:I27"/>
    <mergeCell ref="B22:C22"/>
    <mergeCell ref="F22:I22"/>
    <mergeCell ref="B23:C23"/>
    <mergeCell ref="F23:I23"/>
    <mergeCell ref="B24:C24"/>
    <mergeCell ref="F24:I24"/>
    <mergeCell ref="B19:C19"/>
    <mergeCell ref="F19:I19"/>
    <mergeCell ref="B20:C20"/>
    <mergeCell ref="F20:I20"/>
    <mergeCell ref="B21:C21"/>
    <mergeCell ref="F21:I21"/>
    <mergeCell ref="B16:C16"/>
    <mergeCell ref="F16:I16"/>
    <mergeCell ref="B17:C17"/>
    <mergeCell ref="F17:I17"/>
    <mergeCell ref="B18:C18"/>
    <mergeCell ref="F18:I18"/>
    <mergeCell ref="B13:C13"/>
    <mergeCell ref="F13:I13"/>
    <mergeCell ref="B14:C14"/>
    <mergeCell ref="F14:I14"/>
    <mergeCell ref="B15:C15"/>
    <mergeCell ref="F15:I15"/>
    <mergeCell ref="B10:C10"/>
    <mergeCell ref="F10:I10"/>
    <mergeCell ref="B11:C11"/>
    <mergeCell ref="F11:I11"/>
    <mergeCell ref="B12:C12"/>
    <mergeCell ref="F12:I12"/>
    <mergeCell ref="B7:C7"/>
    <mergeCell ref="F7:I7"/>
    <mergeCell ref="B8:C8"/>
    <mergeCell ref="F8:I8"/>
    <mergeCell ref="B9:C9"/>
    <mergeCell ref="F9:I9"/>
    <mergeCell ref="B4:C4"/>
    <mergeCell ref="F4:I4"/>
    <mergeCell ref="B5:C5"/>
    <mergeCell ref="F5:I5"/>
    <mergeCell ref="B6:C6"/>
    <mergeCell ref="F6:I6"/>
  </mergeCells>
  <hyperlinks>
    <hyperlink ref="G3" r:id="rId1" tooltip="Click to hide this measure column, use Options above to restore it." display="https://wonder.cdc.gov/controller/datarequest/D149;jsessionid=3A3BB1E38C63FE039C5B290EEB16?stage=results&amp;action=hide&amp;measure=D149.M002" xr:uid="{5B615832-BB4A-4CD5-81F8-C36659265F6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4A566-3799-4126-868E-0C06080407D6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C30A-3610-4ABC-8F55-498A9324C498}">
  <dimension ref="A1:D17"/>
  <sheetViews>
    <sheetView workbookViewId="0">
      <selection activeCell="C18" sqref="C18"/>
    </sheetView>
  </sheetViews>
  <sheetFormatPr defaultColWidth="9.3046875" defaultRowHeight="15" customHeight="1" x14ac:dyDescent="0.4"/>
  <cols>
    <col min="3" max="3" width="84.3828125" customWidth="1"/>
  </cols>
  <sheetData>
    <row r="1" spans="1:4" ht="15" customHeight="1" x14ac:dyDescent="0.4">
      <c r="A1" s="1"/>
      <c r="B1" s="1"/>
    </row>
    <row r="2" spans="1:4" ht="15" customHeight="1" x14ac:dyDescent="0.4">
      <c r="A2" s="1"/>
      <c r="B2" s="6"/>
    </row>
    <row r="3" spans="1:4" ht="15" customHeight="1" x14ac:dyDescent="0.4">
      <c r="A3" s="1"/>
      <c r="B3" s="1" t="s">
        <v>38</v>
      </c>
      <c r="C3" s="6" t="s">
        <v>39</v>
      </c>
    </row>
    <row r="4" spans="1:4" ht="15" customHeight="1" x14ac:dyDescent="0.4">
      <c r="A4" s="1"/>
      <c r="B4" s="1" t="s">
        <v>40</v>
      </c>
      <c r="C4" s="6" t="s">
        <v>28</v>
      </c>
      <c r="D4" s="1"/>
    </row>
    <row r="5" spans="1:4" ht="15" customHeight="1" x14ac:dyDescent="0.4">
      <c r="A5" s="1"/>
      <c r="B5" s="1" t="s">
        <v>41</v>
      </c>
      <c r="C5" s="6" t="s">
        <v>8</v>
      </c>
      <c r="D5" s="6"/>
    </row>
    <row r="6" spans="1:4" ht="15" customHeight="1" x14ac:dyDescent="0.4">
      <c r="A6" s="1"/>
      <c r="B6" s="1" t="s">
        <v>53</v>
      </c>
      <c r="C6" s="6" t="s">
        <v>54</v>
      </c>
      <c r="D6" s="6"/>
    </row>
    <row r="7" spans="1:4" ht="15" customHeight="1" x14ac:dyDescent="0.4">
      <c r="A7" s="1"/>
      <c r="B7" s="1" t="s">
        <v>42</v>
      </c>
      <c r="C7" s="6" t="s">
        <v>1</v>
      </c>
      <c r="D7" s="6"/>
    </row>
    <row r="8" spans="1:4" ht="15" customHeight="1" x14ac:dyDescent="0.4">
      <c r="A8" s="1"/>
      <c r="B8" s="1" t="s">
        <v>43</v>
      </c>
      <c r="C8" s="6" t="s">
        <v>0</v>
      </c>
      <c r="D8" s="6"/>
    </row>
    <row r="9" spans="1:4" ht="15" customHeight="1" x14ac:dyDescent="0.4">
      <c r="A9" s="1"/>
      <c r="B9" s="1" t="s">
        <v>44</v>
      </c>
      <c r="C9" s="6" t="s">
        <v>45</v>
      </c>
      <c r="D9" s="6"/>
    </row>
    <row r="10" spans="1:4" ht="15" customHeight="1" x14ac:dyDescent="0.4">
      <c r="A10" s="1"/>
      <c r="B10" s="1" t="s">
        <v>46</v>
      </c>
      <c r="C10" s="6" t="s">
        <v>0</v>
      </c>
      <c r="D10" s="6"/>
    </row>
    <row r="11" spans="1:4" ht="15" customHeight="1" x14ac:dyDescent="0.4">
      <c r="A11" s="1"/>
      <c r="B11" s="1" t="s">
        <v>47</v>
      </c>
      <c r="C11" s="6" t="s">
        <v>52</v>
      </c>
      <c r="D11" s="6"/>
    </row>
    <row r="12" spans="1:4" ht="15" customHeight="1" x14ac:dyDescent="0.4">
      <c r="A12" s="1"/>
      <c r="B12" s="1" t="s">
        <v>48</v>
      </c>
      <c r="C12" s="6" t="b">
        <v>0</v>
      </c>
      <c r="D12" s="6"/>
    </row>
    <row r="13" spans="1:4" ht="15" customHeight="1" x14ac:dyDescent="0.4">
      <c r="A13" s="1"/>
      <c r="B13" s="1" t="s">
        <v>49</v>
      </c>
      <c r="C13" s="6" t="b">
        <v>0</v>
      </c>
      <c r="D13" s="6"/>
    </row>
    <row r="14" spans="1:4" ht="15" customHeight="1" x14ac:dyDescent="0.4">
      <c r="A14" s="1"/>
      <c r="B14" s="1" t="s">
        <v>50</v>
      </c>
      <c r="C14" s="6" t="b">
        <v>0</v>
      </c>
      <c r="D14" s="6"/>
    </row>
    <row r="15" spans="1:4" ht="15" customHeight="1" x14ac:dyDescent="0.4">
      <c r="B15" s="1" t="s">
        <v>51</v>
      </c>
      <c r="C15" s="4">
        <v>1000</v>
      </c>
      <c r="D15" s="6"/>
    </row>
    <row r="16" spans="1:4" ht="15" customHeight="1" x14ac:dyDescent="0.4">
      <c r="C16" s="1"/>
      <c r="D16" s="6"/>
    </row>
    <row r="17" spans="3:4" ht="15" customHeight="1" x14ac:dyDescent="0.4">
      <c r="C17" s="1"/>
      <c r="D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Main</vt:lpstr>
      <vt:lpstr>Race Effect</vt:lpstr>
      <vt:lpstr>Interval</vt:lpstr>
      <vt:lpstr>Age</vt:lpstr>
      <vt:lpstr>Sheet4</vt:lpstr>
      <vt:lpstr>'Race Effect'!caveats</vt:lpstr>
      <vt:lpstr>'Race Effect'!Citation</vt:lpstr>
      <vt:lpstr>'Race Effect'!Notes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Kuik</dc:creator>
  <cp:lastModifiedBy>Mark Gostine</cp:lastModifiedBy>
  <dcterms:created xsi:type="dcterms:W3CDTF">2025-06-12T04:46:44Z</dcterms:created>
  <dcterms:modified xsi:type="dcterms:W3CDTF">2025-08-17T19:51:57Z</dcterms:modified>
</cp:coreProperties>
</file>